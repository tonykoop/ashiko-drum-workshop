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817AC26B-952E-4BC8-9D9E-228F63BFF45C}" xr6:coauthVersionLast="47" xr6:coauthVersionMax="47" xr10:uidLastSave="{00000000-0000-0000-0000-000000000000}"/>
  <bookViews>
    <workbookView xWindow="4940" yWindow="1320" windowWidth="27740" windowHeight="20280" xr2:uid="{00000000-000D-0000-FFFF-FFFF00000000}"/>
  </bookViews>
  <sheets>
    <sheet name="Sheet1" sheetId="1" r:id="rId1"/>
  </sheets>
  <definedNames>
    <definedName name="_xlnm.Print_Area" localSheetId="0">Sheet1!$A$1:$R$38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1" l="1"/>
  <c r="D36" i="1"/>
  <c r="D35" i="1"/>
  <c r="D34" i="1"/>
  <c r="I37" i="1"/>
  <c r="I36" i="1"/>
  <c r="I35" i="1"/>
  <c r="I34" i="1"/>
  <c r="I38" i="1" l="1"/>
</calcChain>
</file>

<file path=xl/sharedStrings.xml><?xml version="1.0" encoding="utf-8"?>
<sst xmlns="http://schemas.openxmlformats.org/spreadsheetml/2006/main" count="63" uniqueCount="58">
  <si>
    <t>Row</t>
  </si>
  <si>
    <t>Board</t>
  </si>
  <si>
    <t>Width</t>
  </si>
  <si>
    <t>Length</t>
  </si>
  <si>
    <t>Segment</t>
  </si>
  <si>
    <t>S.E.L.</t>
  </si>
  <si>
    <t>Species</t>
  </si>
  <si>
    <t>Diameter</t>
  </si>
  <si>
    <t>Outer</t>
  </si>
  <si>
    <t>6.1"</t>
  </si>
  <si>
    <t>6.3"</t>
  </si>
  <si>
    <t>6.4"</t>
  </si>
  <si>
    <t>6.6"</t>
  </si>
  <si>
    <t>6.8"</t>
  </si>
  <si>
    <t>6.9"</t>
  </si>
  <si>
    <t>7.1"</t>
  </si>
  <si>
    <t>7.3"</t>
  </si>
  <si>
    <t>7.4"</t>
  </si>
  <si>
    <t>7.6"</t>
  </si>
  <si>
    <t>7.8"</t>
  </si>
  <si>
    <t>8"</t>
  </si>
  <si>
    <t>8.1"</t>
  </si>
  <si>
    <t>8.3"</t>
  </si>
  <si>
    <t>8.5"</t>
  </si>
  <si>
    <t>8.6"</t>
  </si>
  <si>
    <t>8.8"</t>
  </si>
  <si>
    <t>9"</t>
  </si>
  <si>
    <t>9.1"</t>
  </si>
  <si>
    <t>9.3"</t>
  </si>
  <si>
    <t>9.5"</t>
  </si>
  <si>
    <t>9.7"</t>
  </si>
  <si>
    <t>9.8"</t>
  </si>
  <si>
    <t>10"</t>
  </si>
  <si>
    <t>10.2"</t>
  </si>
  <si>
    <t>10.3"</t>
  </si>
  <si>
    <t>10.5"</t>
  </si>
  <si>
    <t>10.7"</t>
  </si>
  <si>
    <t>Maple</t>
  </si>
  <si>
    <t>Lgth</t>
  </si>
  <si>
    <t>Blood</t>
  </si>
  <si>
    <t>Holly</t>
  </si>
  <si>
    <t>Small Ashiko: 480 Pieces</t>
  </si>
  <si>
    <t>Segments per Ring: 16</t>
  </si>
  <si>
    <t>Ring Thickness: 0.625</t>
  </si>
  <si>
    <t>Angle: 11.25°</t>
  </si>
  <si>
    <t>Dimensions: 19.375" Tall x 10.7" Diameter Head</t>
  </si>
  <si>
    <t>Walnut</t>
  </si>
  <si>
    <t>Segments of Maple</t>
  </si>
  <si>
    <t>Bd Ft of Maple</t>
  </si>
  <si>
    <t>Segments of Walnut</t>
  </si>
  <si>
    <t>Bd Ft of Walnut</t>
  </si>
  <si>
    <t>Total # of Pieces:</t>
  </si>
  <si>
    <t>Total Board Feet</t>
  </si>
  <si>
    <t>16*30 =</t>
  </si>
  <si>
    <t>Segments of Blood</t>
  </si>
  <si>
    <t>Segments of Holly</t>
  </si>
  <si>
    <t>Bd Ft of Blood</t>
  </si>
  <si>
    <t>Bd Ft of Holly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</si>
</sst>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50800</xdr:colOff>
      <xdr:row>2</xdr:row>
      <xdr:rowOff>88900</xdr:rowOff>
    </xdr:from>
    <xdr:to>
      <xdr:col>17</xdr:col>
      <xdr:colOff>412889</xdr:colOff>
      <xdr:row>28</xdr:row>
      <xdr:rowOff>6592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2FE989-0F30-4F91-A0AA-4E779B8D2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1050" y="457200"/>
          <a:ext cx="2711589" cy="4705592"/>
        </a:xfrm>
        <a:prstGeom prst="rect">
          <a:avLst/>
        </a:prstGeom>
      </xdr:spPr>
    </xdr:pic>
    <xdr:clientData/>
  </xdr:twoCellAnchor>
  <xdr:twoCellAnchor editAs="oneCell">
    <xdr:from>
      <xdr:col>13</xdr:col>
      <xdr:colOff>120650</xdr:colOff>
      <xdr:row>28</xdr:row>
      <xdr:rowOff>127000</xdr:rowOff>
    </xdr:from>
    <xdr:to>
      <xdr:col>16</xdr:col>
      <xdr:colOff>436412</xdr:colOff>
      <xdr:row>34</xdr:row>
      <xdr:rowOff>180947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0A004360-9570-4898-841F-BB8C61FD8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00900" y="5283200"/>
          <a:ext cx="2017562" cy="1158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8"/>
  <sheetViews>
    <sheetView tabSelected="1" workbookViewId="0">
      <selection activeCell="U9" sqref="U9"/>
    </sheetView>
  </sheetViews>
  <sheetFormatPr defaultColWidth="9.26953125" defaultRowHeight="14.5" x14ac:dyDescent="0.35"/>
  <cols>
    <col min="1" max="1" width="4.26953125" customWidth="1"/>
    <col min="2" max="2" width="6.1796875" customWidth="1"/>
    <col min="3" max="3" width="6.453125" customWidth="1"/>
    <col min="4" max="4" width="8" bestFit="1" customWidth="1"/>
    <col min="5" max="5" width="5.81640625" customWidth="1"/>
    <col min="6" max="6" width="6.08984375" customWidth="1"/>
    <col min="7" max="7" width="5.7265625" customWidth="1"/>
    <col min="8" max="8" width="5.54296875" customWidth="1"/>
    <col min="9" max="9" width="5.6328125" bestFit="1" customWidth="1"/>
    <col min="10" max="10" width="5.54296875" customWidth="1"/>
    <col min="11" max="11" width="4.90625" customWidth="1"/>
    <col min="12" max="12" width="5.81640625" bestFit="1" customWidth="1"/>
    <col min="13" max="13" width="6.7265625" customWidth="1"/>
    <col min="14" max="14" width="5.81640625" bestFit="1" customWidth="1"/>
  </cols>
  <sheetData>
    <row r="1" spans="1:14" x14ac:dyDescent="0.35">
      <c r="A1" s="1" t="s">
        <v>41</v>
      </c>
      <c r="E1" s="2" t="s">
        <v>42</v>
      </c>
      <c r="I1" s="2" t="s">
        <v>43</v>
      </c>
      <c r="M1" s="2" t="s">
        <v>44</v>
      </c>
    </row>
    <row r="2" spans="1:14" x14ac:dyDescent="0.35">
      <c r="A2" s="6"/>
      <c r="B2" s="6" t="s">
        <v>1</v>
      </c>
      <c r="C2" s="6"/>
      <c r="D2" s="6" t="s">
        <v>4</v>
      </c>
      <c r="E2" s="6" t="s">
        <v>7</v>
      </c>
      <c r="F2" s="6"/>
      <c r="G2" s="6"/>
      <c r="H2" s="6"/>
      <c r="I2" s="6"/>
      <c r="J2" s="6" t="s">
        <v>6</v>
      </c>
      <c r="K2" s="6"/>
      <c r="L2" s="6"/>
      <c r="M2" s="6"/>
      <c r="N2" s="2" t="s">
        <v>45</v>
      </c>
    </row>
    <row r="3" spans="1:14" x14ac:dyDescent="0.35">
      <c r="A3" s="6" t="s">
        <v>0</v>
      </c>
      <c r="B3" s="6" t="s">
        <v>2</v>
      </c>
      <c r="C3" s="6" t="s">
        <v>3</v>
      </c>
      <c r="D3" s="6" t="s">
        <v>5</v>
      </c>
      <c r="E3" s="6" t="s">
        <v>8</v>
      </c>
      <c r="F3" s="6" t="s">
        <v>37</v>
      </c>
      <c r="G3" s="6" t="s">
        <v>38</v>
      </c>
      <c r="H3" s="6" t="s">
        <v>39</v>
      </c>
      <c r="I3" s="6" t="s">
        <v>38</v>
      </c>
      <c r="J3" s="6" t="s">
        <v>40</v>
      </c>
      <c r="K3" s="6" t="s">
        <v>38</v>
      </c>
      <c r="L3" s="7" t="s">
        <v>46</v>
      </c>
      <c r="M3" s="6" t="s">
        <v>38</v>
      </c>
    </row>
    <row r="4" spans="1:14" x14ac:dyDescent="0.35">
      <c r="A4" s="6">
        <v>1</v>
      </c>
      <c r="B4" s="6">
        <v>1.2</v>
      </c>
      <c r="C4" s="6">
        <v>12.8</v>
      </c>
      <c r="D4" s="6">
        <v>1.2090000000000001</v>
      </c>
      <c r="E4" s="8" t="s">
        <v>9</v>
      </c>
      <c r="F4" s="6">
        <v>4</v>
      </c>
      <c r="G4" s="6">
        <v>3.1</v>
      </c>
      <c r="H4" s="6">
        <v>4</v>
      </c>
      <c r="I4" s="6">
        <v>3.1</v>
      </c>
      <c r="J4" s="6">
        <v>4</v>
      </c>
      <c r="K4" s="6">
        <v>3.1</v>
      </c>
      <c r="L4" s="6">
        <v>4</v>
      </c>
      <c r="M4" s="6">
        <v>3.1</v>
      </c>
    </row>
    <row r="5" spans="1:14" x14ac:dyDescent="0.35">
      <c r="A5" s="6">
        <v>2</v>
      </c>
      <c r="B5" s="6">
        <v>1.2</v>
      </c>
      <c r="C5" s="6">
        <v>13.5</v>
      </c>
      <c r="D5" s="6">
        <v>1.2450000000000001</v>
      </c>
      <c r="E5" s="8" t="s">
        <v>10</v>
      </c>
      <c r="F5" s="6">
        <v>4</v>
      </c>
      <c r="G5" s="6">
        <v>3.3</v>
      </c>
      <c r="H5" s="6">
        <v>4</v>
      </c>
      <c r="I5" s="6">
        <v>3.3</v>
      </c>
      <c r="J5" s="6">
        <v>4</v>
      </c>
      <c r="K5" s="6">
        <v>3.3</v>
      </c>
      <c r="L5" s="6">
        <v>4</v>
      </c>
      <c r="M5" s="6">
        <v>3.3</v>
      </c>
    </row>
    <row r="6" spans="1:14" x14ac:dyDescent="0.35">
      <c r="A6" s="6">
        <v>3</v>
      </c>
      <c r="B6" s="6">
        <v>1.2</v>
      </c>
      <c r="C6" s="6">
        <v>14.2</v>
      </c>
      <c r="D6" s="6">
        <v>1.2769999999999999</v>
      </c>
      <c r="E6" s="8" t="s">
        <v>11</v>
      </c>
      <c r="F6" s="6">
        <v>4</v>
      </c>
      <c r="G6" s="6">
        <v>3.5</v>
      </c>
      <c r="H6" s="6">
        <v>4</v>
      </c>
      <c r="I6" s="6">
        <v>3.5</v>
      </c>
      <c r="J6" s="6">
        <v>4</v>
      </c>
      <c r="K6" s="6">
        <v>3.5</v>
      </c>
      <c r="L6" s="6">
        <v>4</v>
      </c>
      <c r="M6" s="6">
        <v>3.5</v>
      </c>
    </row>
    <row r="7" spans="1:14" x14ac:dyDescent="0.35">
      <c r="A7" s="6">
        <v>4</v>
      </c>
      <c r="B7" s="6">
        <v>1.2</v>
      </c>
      <c r="C7" s="6">
        <v>15</v>
      </c>
      <c r="D7" s="6">
        <v>1.3129999999999999</v>
      </c>
      <c r="E7" s="8" t="s">
        <v>12</v>
      </c>
      <c r="F7" s="6">
        <v>4</v>
      </c>
      <c r="G7" s="6">
        <v>3.6</v>
      </c>
      <c r="H7" s="6">
        <v>4</v>
      </c>
      <c r="I7" s="6">
        <v>3.6</v>
      </c>
      <c r="J7" s="6">
        <v>4</v>
      </c>
      <c r="K7" s="6">
        <v>3.6</v>
      </c>
      <c r="L7" s="6">
        <v>4</v>
      </c>
      <c r="M7" s="6">
        <v>3.6</v>
      </c>
    </row>
    <row r="8" spans="1:14" x14ac:dyDescent="0.35">
      <c r="A8" s="6">
        <v>5</v>
      </c>
      <c r="B8" s="6">
        <v>1.2</v>
      </c>
      <c r="C8" s="6">
        <v>15.7</v>
      </c>
      <c r="D8" s="6">
        <v>1.345</v>
      </c>
      <c r="E8" s="8" t="s">
        <v>13</v>
      </c>
      <c r="F8" s="6">
        <v>4</v>
      </c>
      <c r="G8" s="6">
        <v>3.8</v>
      </c>
      <c r="H8" s="6">
        <v>4</v>
      </c>
      <c r="I8" s="6">
        <v>3.8</v>
      </c>
      <c r="J8" s="6">
        <v>4</v>
      </c>
      <c r="K8" s="6">
        <v>3.8</v>
      </c>
      <c r="L8" s="6">
        <v>4</v>
      </c>
      <c r="M8" s="6">
        <v>3.8</v>
      </c>
    </row>
    <row r="9" spans="1:14" x14ac:dyDescent="0.35">
      <c r="A9" s="6">
        <v>6</v>
      </c>
      <c r="B9" s="6">
        <v>1.2</v>
      </c>
      <c r="C9" s="6">
        <v>16.399999999999999</v>
      </c>
      <c r="D9" s="6">
        <v>1.38</v>
      </c>
      <c r="E9" s="8" t="s">
        <v>14</v>
      </c>
      <c r="F9" s="6">
        <v>4</v>
      </c>
      <c r="G9" s="6">
        <v>4</v>
      </c>
      <c r="H9" s="6">
        <v>4</v>
      </c>
      <c r="I9" s="6">
        <v>4</v>
      </c>
      <c r="J9" s="6">
        <v>4</v>
      </c>
      <c r="K9" s="6">
        <v>4</v>
      </c>
      <c r="L9" s="6">
        <v>4</v>
      </c>
      <c r="M9" s="6">
        <v>4</v>
      </c>
    </row>
    <row r="10" spans="1:14" x14ac:dyDescent="0.35">
      <c r="A10" s="6">
        <v>7</v>
      </c>
      <c r="B10" s="6">
        <v>1.2</v>
      </c>
      <c r="C10" s="6">
        <v>17.100000000000001</v>
      </c>
      <c r="D10" s="6">
        <v>1.4119999999999999</v>
      </c>
      <c r="E10" s="8" t="s">
        <v>15</v>
      </c>
      <c r="F10" s="6">
        <v>4</v>
      </c>
      <c r="G10" s="6">
        <v>4.2</v>
      </c>
      <c r="H10" s="6">
        <v>4</v>
      </c>
      <c r="I10" s="6">
        <v>4.2</v>
      </c>
      <c r="J10" s="6">
        <v>4</v>
      </c>
      <c r="K10" s="6">
        <v>4.2</v>
      </c>
      <c r="L10" s="6">
        <v>4</v>
      </c>
      <c r="M10" s="6">
        <v>4.2</v>
      </c>
    </row>
    <row r="11" spans="1:14" x14ac:dyDescent="0.35">
      <c r="A11" s="6">
        <v>8</v>
      </c>
      <c r="B11" s="6">
        <v>1.2</v>
      </c>
      <c r="C11" s="6">
        <v>17.8</v>
      </c>
      <c r="D11" s="6">
        <v>1.448</v>
      </c>
      <c r="E11" s="8" t="s">
        <v>16</v>
      </c>
      <c r="F11" s="6">
        <v>4</v>
      </c>
      <c r="G11" s="6">
        <v>4.4000000000000004</v>
      </c>
      <c r="H11" s="6">
        <v>4</v>
      </c>
      <c r="I11" s="6">
        <v>4.4000000000000004</v>
      </c>
      <c r="J11" s="6">
        <v>4</v>
      </c>
      <c r="K11" s="6">
        <v>4.4000000000000004</v>
      </c>
      <c r="L11" s="6">
        <v>4</v>
      </c>
      <c r="M11" s="6">
        <v>4.4000000000000004</v>
      </c>
    </row>
    <row r="12" spans="1:14" x14ac:dyDescent="0.35">
      <c r="A12" s="6">
        <v>9</v>
      </c>
      <c r="B12" s="6">
        <v>1.2</v>
      </c>
      <c r="C12" s="6">
        <v>18.600000000000001</v>
      </c>
      <c r="D12" s="6">
        <v>1.48</v>
      </c>
      <c r="E12" s="8" t="s">
        <v>17</v>
      </c>
      <c r="F12" s="6">
        <v>4</v>
      </c>
      <c r="G12" s="6">
        <v>4.5</v>
      </c>
      <c r="H12" s="6">
        <v>4</v>
      </c>
      <c r="I12" s="6">
        <v>4.5</v>
      </c>
      <c r="J12" s="6">
        <v>4</v>
      </c>
      <c r="K12" s="6">
        <v>4.5</v>
      </c>
      <c r="L12" s="6">
        <v>4</v>
      </c>
      <c r="M12" s="6">
        <v>4.5</v>
      </c>
    </row>
    <row r="13" spans="1:14" x14ac:dyDescent="0.35">
      <c r="A13" s="6">
        <v>10</v>
      </c>
      <c r="B13" s="6">
        <v>1.2</v>
      </c>
      <c r="C13" s="6">
        <v>19.3</v>
      </c>
      <c r="D13" s="6">
        <v>1.516</v>
      </c>
      <c r="E13" s="8" t="s">
        <v>18</v>
      </c>
      <c r="F13" s="6">
        <v>4</v>
      </c>
      <c r="G13" s="6">
        <v>4.7</v>
      </c>
      <c r="H13" s="6">
        <v>4</v>
      </c>
      <c r="I13" s="6">
        <v>4.7</v>
      </c>
      <c r="J13" s="6">
        <v>4</v>
      </c>
      <c r="K13" s="6">
        <v>4.7</v>
      </c>
      <c r="L13" s="6">
        <v>4</v>
      </c>
      <c r="M13" s="6">
        <v>4.7</v>
      </c>
    </row>
    <row r="14" spans="1:14" x14ac:dyDescent="0.35">
      <c r="A14" s="6">
        <v>11</v>
      </c>
      <c r="B14" s="6">
        <v>1.2</v>
      </c>
      <c r="C14" s="6">
        <v>20</v>
      </c>
      <c r="D14" s="6">
        <v>1.548</v>
      </c>
      <c r="E14" s="8" t="s">
        <v>19</v>
      </c>
      <c r="F14" s="6">
        <v>4</v>
      </c>
      <c r="G14" s="6">
        <v>4.9000000000000004</v>
      </c>
      <c r="H14" s="6">
        <v>4</v>
      </c>
      <c r="I14" s="6">
        <v>4.9000000000000004</v>
      </c>
      <c r="J14" s="6">
        <v>4</v>
      </c>
      <c r="K14" s="6">
        <v>4.9000000000000004</v>
      </c>
      <c r="L14" s="6">
        <v>4</v>
      </c>
      <c r="M14" s="6">
        <v>4.9000000000000004</v>
      </c>
    </row>
    <row r="15" spans="1:14" x14ac:dyDescent="0.35">
      <c r="A15" s="6">
        <v>12</v>
      </c>
      <c r="B15" s="6">
        <v>1.2</v>
      </c>
      <c r="C15" s="6">
        <v>20.7</v>
      </c>
      <c r="D15" s="6">
        <v>1.583</v>
      </c>
      <c r="E15" s="8" t="s">
        <v>20</v>
      </c>
      <c r="F15" s="6">
        <v>4</v>
      </c>
      <c r="G15" s="6">
        <v>5.0999999999999996</v>
      </c>
      <c r="H15" s="6">
        <v>4</v>
      </c>
      <c r="I15" s="6">
        <v>5.0999999999999996</v>
      </c>
      <c r="J15" s="6">
        <v>4</v>
      </c>
      <c r="K15" s="6">
        <v>5.0999999999999996</v>
      </c>
      <c r="L15" s="6">
        <v>4</v>
      </c>
      <c r="M15" s="6">
        <v>5.0999999999999996</v>
      </c>
    </row>
    <row r="16" spans="1:14" x14ac:dyDescent="0.35">
      <c r="A16" s="6">
        <v>13</v>
      </c>
      <c r="B16" s="6">
        <v>1.2</v>
      </c>
      <c r="C16" s="6">
        <v>21.4</v>
      </c>
      <c r="D16" s="6">
        <v>1.615</v>
      </c>
      <c r="E16" s="8" t="s">
        <v>21</v>
      </c>
      <c r="F16" s="6">
        <v>4</v>
      </c>
      <c r="G16" s="6">
        <v>5.3</v>
      </c>
      <c r="H16" s="6">
        <v>4</v>
      </c>
      <c r="I16" s="6">
        <v>5.3</v>
      </c>
      <c r="J16" s="6">
        <v>4</v>
      </c>
      <c r="K16" s="6">
        <v>5.3</v>
      </c>
      <c r="L16" s="6">
        <v>4</v>
      </c>
      <c r="M16" s="6">
        <v>5.3</v>
      </c>
    </row>
    <row r="17" spans="1:13" x14ac:dyDescent="0.35">
      <c r="A17" s="6">
        <v>14</v>
      </c>
      <c r="B17" s="6">
        <v>1.2</v>
      </c>
      <c r="C17" s="6">
        <v>22.2</v>
      </c>
      <c r="D17" s="6">
        <v>1.651</v>
      </c>
      <c r="E17" s="8" t="s">
        <v>22</v>
      </c>
      <c r="F17" s="6">
        <v>4</v>
      </c>
      <c r="G17" s="6">
        <v>5.4</v>
      </c>
      <c r="H17" s="6">
        <v>4</v>
      </c>
      <c r="I17" s="6">
        <v>5.4</v>
      </c>
      <c r="J17" s="6">
        <v>4</v>
      </c>
      <c r="K17" s="6">
        <v>5.4</v>
      </c>
      <c r="L17" s="6">
        <v>4</v>
      </c>
      <c r="M17" s="6">
        <v>5.4</v>
      </c>
    </row>
    <row r="18" spans="1:13" x14ac:dyDescent="0.35">
      <c r="A18" s="6">
        <v>15</v>
      </c>
      <c r="B18" s="6">
        <v>1.2</v>
      </c>
      <c r="C18" s="6">
        <v>22.9</v>
      </c>
      <c r="D18" s="6">
        <v>1.6830000000000001</v>
      </c>
      <c r="E18" s="8" t="s">
        <v>23</v>
      </c>
      <c r="F18" s="6">
        <v>4</v>
      </c>
      <c r="G18" s="6">
        <v>5.6</v>
      </c>
      <c r="H18" s="6">
        <v>4</v>
      </c>
      <c r="I18" s="6">
        <v>5.6</v>
      </c>
      <c r="J18" s="6">
        <v>4</v>
      </c>
      <c r="K18" s="6">
        <v>5.6</v>
      </c>
      <c r="L18" s="6">
        <v>4</v>
      </c>
      <c r="M18" s="6">
        <v>5.6</v>
      </c>
    </row>
    <row r="19" spans="1:13" x14ac:dyDescent="0.35">
      <c r="A19" s="6">
        <v>16</v>
      </c>
      <c r="B19" s="6">
        <v>1.2</v>
      </c>
      <c r="C19" s="6">
        <v>23.6</v>
      </c>
      <c r="D19" s="6">
        <v>1.7190000000000001</v>
      </c>
      <c r="E19" s="8" t="s">
        <v>24</v>
      </c>
      <c r="F19" s="6">
        <v>4</v>
      </c>
      <c r="G19" s="6">
        <v>5.8</v>
      </c>
      <c r="H19" s="6">
        <v>4</v>
      </c>
      <c r="I19" s="6">
        <v>5.8</v>
      </c>
      <c r="J19" s="6">
        <v>4</v>
      </c>
      <c r="K19" s="6">
        <v>5.8</v>
      </c>
      <c r="L19" s="6">
        <v>4</v>
      </c>
      <c r="M19" s="6">
        <v>5.8</v>
      </c>
    </row>
    <row r="20" spans="1:13" x14ac:dyDescent="0.35">
      <c r="A20" s="6">
        <v>17</v>
      </c>
      <c r="B20" s="6">
        <v>1.2</v>
      </c>
      <c r="C20" s="6">
        <v>24.3</v>
      </c>
      <c r="D20" s="6">
        <v>1.75</v>
      </c>
      <c r="E20" s="8" t="s">
        <v>25</v>
      </c>
      <c r="F20" s="6">
        <v>4</v>
      </c>
      <c r="G20" s="6">
        <v>6</v>
      </c>
      <c r="H20" s="6">
        <v>4</v>
      </c>
      <c r="I20" s="6">
        <v>6</v>
      </c>
      <c r="J20" s="6">
        <v>4</v>
      </c>
      <c r="K20" s="6">
        <v>6</v>
      </c>
      <c r="L20" s="6">
        <v>4</v>
      </c>
      <c r="M20" s="6">
        <v>6</v>
      </c>
    </row>
    <row r="21" spans="1:13" x14ac:dyDescent="0.35">
      <c r="A21" s="6">
        <v>18</v>
      </c>
      <c r="B21" s="6">
        <v>1.2</v>
      </c>
      <c r="C21" s="6">
        <v>25</v>
      </c>
      <c r="D21" s="6">
        <v>1.786</v>
      </c>
      <c r="E21" s="8" t="s">
        <v>26</v>
      </c>
      <c r="F21" s="6">
        <v>4</v>
      </c>
      <c r="G21" s="6">
        <v>6.2</v>
      </c>
      <c r="H21" s="6">
        <v>4</v>
      </c>
      <c r="I21" s="6">
        <v>6.2</v>
      </c>
      <c r="J21" s="6">
        <v>4</v>
      </c>
      <c r="K21" s="6">
        <v>6.2</v>
      </c>
      <c r="L21" s="6">
        <v>4</v>
      </c>
      <c r="M21" s="6">
        <v>6.2</v>
      </c>
    </row>
    <row r="22" spans="1:13" x14ac:dyDescent="0.35">
      <c r="A22" s="6">
        <v>19</v>
      </c>
      <c r="B22" s="6">
        <v>1.2</v>
      </c>
      <c r="C22" s="6">
        <v>25.8</v>
      </c>
      <c r="D22" s="6">
        <v>1.8180000000000001</v>
      </c>
      <c r="E22" s="8" t="s">
        <v>27</v>
      </c>
      <c r="F22" s="6">
        <v>4</v>
      </c>
      <c r="G22" s="6">
        <v>6.3</v>
      </c>
      <c r="H22" s="6">
        <v>4</v>
      </c>
      <c r="I22" s="6">
        <v>6.3</v>
      </c>
      <c r="J22" s="6">
        <v>4</v>
      </c>
      <c r="K22" s="6">
        <v>6.3</v>
      </c>
      <c r="L22" s="6">
        <v>4</v>
      </c>
      <c r="M22" s="6">
        <v>6.3</v>
      </c>
    </row>
    <row r="23" spans="1:13" x14ac:dyDescent="0.35">
      <c r="A23" s="6">
        <v>20</v>
      </c>
      <c r="B23" s="6">
        <v>1.2</v>
      </c>
      <c r="C23" s="6">
        <v>26.5</v>
      </c>
      <c r="D23" s="6">
        <v>1.8540000000000001</v>
      </c>
      <c r="E23" s="8" t="s">
        <v>28</v>
      </c>
      <c r="F23" s="6">
        <v>4</v>
      </c>
      <c r="G23" s="6">
        <v>6.5</v>
      </c>
      <c r="H23" s="6">
        <v>4</v>
      </c>
      <c r="I23" s="6">
        <v>6.5</v>
      </c>
      <c r="J23" s="6">
        <v>4</v>
      </c>
      <c r="K23" s="6">
        <v>6.5</v>
      </c>
      <c r="L23" s="6">
        <v>4</v>
      </c>
      <c r="M23" s="6">
        <v>6.5</v>
      </c>
    </row>
    <row r="24" spans="1:13" x14ac:dyDescent="0.35">
      <c r="A24" s="6">
        <v>21</v>
      </c>
      <c r="B24" s="6">
        <v>1.2</v>
      </c>
      <c r="C24" s="6">
        <v>27.2</v>
      </c>
      <c r="D24" s="6">
        <v>1.8859999999999999</v>
      </c>
      <c r="E24" s="8" t="s">
        <v>29</v>
      </c>
      <c r="F24" s="6">
        <v>4</v>
      </c>
      <c r="G24" s="6">
        <v>6.7</v>
      </c>
      <c r="H24" s="6">
        <v>4</v>
      </c>
      <c r="I24" s="6">
        <v>6.7</v>
      </c>
      <c r="J24" s="6">
        <v>4</v>
      </c>
      <c r="K24" s="6">
        <v>6.7</v>
      </c>
      <c r="L24" s="6">
        <v>4</v>
      </c>
      <c r="M24" s="6">
        <v>6.7</v>
      </c>
    </row>
    <row r="25" spans="1:13" x14ac:dyDescent="0.35">
      <c r="A25" s="6">
        <v>22</v>
      </c>
      <c r="B25" s="6">
        <v>1.2</v>
      </c>
      <c r="C25" s="6">
        <v>27.9</v>
      </c>
      <c r="D25" s="6">
        <v>1.921</v>
      </c>
      <c r="E25" s="8" t="s">
        <v>30</v>
      </c>
      <c r="F25" s="6">
        <v>4</v>
      </c>
      <c r="G25" s="6">
        <v>6.9</v>
      </c>
      <c r="H25" s="6">
        <v>4</v>
      </c>
      <c r="I25" s="6">
        <v>6.9</v>
      </c>
      <c r="J25" s="6">
        <v>4</v>
      </c>
      <c r="K25" s="6">
        <v>6.9</v>
      </c>
      <c r="L25" s="6">
        <v>4</v>
      </c>
      <c r="M25" s="6">
        <v>6.9</v>
      </c>
    </row>
    <row r="26" spans="1:13" x14ac:dyDescent="0.35">
      <c r="A26" s="6">
        <v>23</v>
      </c>
      <c r="B26" s="6">
        <v>1.2</v>
      </c>
      <c r="C26" s="6">
        <v>28.6</v>
      </c>
      <c r="D26" s="6">
        <v>1.9530000000000001</v>
      </c>
      <c r="E26" s="8" t="s">
        <v>31</v>
      </c>
      <c r="F26" s="6">
        <v>4</v>
      </c>
      <c r="G26" s="6">
        <v>7.1</v>
      </c>
      <c r="H26" s="6">
        <v>4</v>
      </c>
      <c r="I26" s="6">
        <v>7.1</v>
      </c>
      <c r="J26" s="6">
        <v>4</v>
      </c>
      <c r="K26" s="6">
        <v>7.1</v>
      </c>
      <c r="L26" s="6">
        <v>4</v>
      </c>
      <c r="M26" s="6">
        <v>7.1</v>
      </c>
    </row>
    <row r="27" spans="1:13" x14ac:dyDescent="0.35">
      <c r="A27" s="6">
        <v>24</v>
      </c>
      <c r="B27" s="6">
        <v>1.2</v>
      </c>
      <c r="C27" s="6">
        <v>29.3</v>
      </c>
      <c r="D27" s="6">
        <v>1.9850000000000001</v>
      </c>
      <c r="E27" s="8" t="s">
        <v>32</v>
      </c>
      <c r="F27" s="6">
        <v>4</v>
      </c>
      <c r="G27" s="6">
        <v>7.2</v>
      </c>
      <c r="H27" s="6">
        <v>4</v>
      </c>
      <c r="I27" s="6">
        <v>7.2</v>
      </c>
      <c r="J27" s="6">
        <v>4</v>
      </c>
      <c r="K27" s="6">
        <v>7.2</v>
      </c>
      <c r="L27" s="6">
        <v>4</v>
      </c>
      <c r="M27" s="6">
        <v>7.2</v>
      </c>
    </row>
    <row r="28" spans="1:13" x14ac:dyDescent="0.35">
      <c r="A28" s="6">
        <v>25</v>
      </c>
      <c r="B28" s="6">
        <v>1.2</v>
      </c>
      <c r="C28" s="6">
        <v>30.1</v>
      </c>
      <c r="D28" s="6">
        <v>2.0209999999999999</v>
      </c>
      <c r="E28" s="8" t="s">
        <v>33</v>
      </c>
      <c r="F28" s="6">
        <v>4</v>
      </c>
      <c r="G28" s="6">
        <v>7.4</v>
      </c>
      <c r="H28" s="6">
        <v>4</v>
      </c>
      <c r="I28" s="6">
        <v>7.4</v>
      </c>
      <c r="J28" s="6">
        <v>4</v>
      </c>
      <c r="K28" s="6">
        <v>7.4</v>
      </c>
      <c r="L28" s="6">
        <v>4</v>
      </c>
      <c r="M28" s="6">
        <v>7.4</v>
      </c>
    </row>
    <row r="29" spans="1:13" x14ac:dyDescent="0.35">
      <c r="A29" s="6">
        <v>26</v>
      </c>
      <c r="B29" s="6">
        <v>1.2</v>
      </c>
      <c r="C29" s="6">
        <v>30.8</v>
      </c>
      <c r="D29" s="6">
        <v>2.0529999999999999</v>
      </c>
      <c r="E29" s="8" t="s">
        <v>34</v>
      </c>
      <c r="F29" s="6">
        <v>4</v>
      </c>
      <c r="G29" s="6">
        <v>7.6</v>
      </c>
      <c r="H29" s="6">
        <v>4</v>
      </c>
      <c r="I29" s="6">
        <v>7.6</v>
      </c>
      <c r="J29" s="6">
        <v>4</v>
      </c>
      <c r="K29" s="6">
        <v>7.6</v>
      </c>
      <c r="L29" s="6">
        <v>4</v>
      </c>
      <c r="M29" s="6">
        <v>7.6</v>
      </c>
    </row>
    <row r="30" spans="1:13" x14ac:dyDescent="0.35">
      <c r="A30" s="6">
        <v>27</v>
      </c>
      <c r="B30" s="6">
        <v>1.2</v>
      </c>
      <c r="C30" s="6">
        <v>31.5</v>
      </c>
      <c r="D30" s="6">
        <v>2.089</v>
      </c>
      <c r="E30" s="8" t="s">
        <v>35</v>
      </c>
      <c r="F30" s="6">
        <v>4</v>
      </c>
      <c r="G30" s="6">
        <v>7.8</v>
      </c>
      <c r="H30" s="6">
        <v>4</v>
      </c>
      <c r="I30" s="6">
        <v>7.8</v>
      </c>
      <c r="J30" s="6">
        <v>4</v>
      </c>
      <c r="K30" s="6">
        <v>7.8</v>
      </c>
      <c r="L30" s="6">
        <v>4</v>
      </c>
      <c r="M30" s="6">
        <v>7.8</v>
      </c>
    </row>
    <row r="31" spans="1:13" x14ac:dyDescent="0.35">
      <c r="A31" s="6">
        <v>28</v>
      </c>
      <c r="B31" s="6">
        <v>1.2</v>
      </c>
      <c r="C31" s="6">
        <v>32.200000000000003</v>
      </c>
      <c r="D31" s="6">
        <v>2.1240000000000001</v>
      </c>
      <c r="E31" s="8" t="s">
        <v>36</v>
      </c>
      <c r="F31" s="6">
        <v>4</v>
      </c>
      <c r="G31" s="6">
        <v>8</v>
      </c>
      <c r="H31" s="6">
        <v>4</v>
      </c>
      <c r="I31" s="6">
        <v>8</v>
      </c>
      <c r="J31" s="6">
        <v>4</v>
      </c>
      <c r="K31" s="6">
        <v>8</v>
      </c>
      <c r="L31" s="6">
        <v>4</v>
      </c>
      <c r="M31" s="6">
        <v>8</v>
      </c>
    </row>
    <row r="32" spans="1:13" x14ac:dyDescent="0.35">
      <c r="A32" s="6">
        <v>29</v>
      </c>
      <c r="B32" s="6">
        <v>1.2</v>
      </c>
      <c r="C32" s="6">
        <v>32</v>
      </c>
      <c r="D32" s="6">
        <v>2.1240000000000001</v>
      </c>
      <c r="E32" s="8" t="s">
        <v>36</v>
      </c>
      <c r="F32" s="6">
        <v>4</v>
      </c>
      <c r="G32" s="6">
        <v>7.9</v>
      </c>
      <c r="H32" s="6">
        <v>4</v>
      </c>
      <c r="I32" s="6">
        <v>7.9</v>
      </c>
      <c r="J32" s="6">
        <v>4</v>
      </c>
      <c r="K32" s="6">
        <v>7.9</v>
      </c>
      <c r="L32" s="6">
        <v>4</v>
      </c>
      <c r="M32" s="6">
        <v>7.9</v>
      </c>
    </row>
    <row r="33" spans="1:13" x14ac:dyDescent="0.35">
      <c r="A33" s="6">
        <v>30</v>
      </c>
      <c r="B33" s="6">
        <v>1.2</v>
      </c>
      <c r="C33" s="6">
        <v>31.4</v>
      </c>
      <c r="D33" s="6">
        <v>2.1240000000000001</v>
      </c>
      <c r="E33" s="8" t="s">
        <v>36</v>
      </c>
      <c r="F33" s="6">
        <v>4</v>
      </c>
      <c r="G33" s="6">
        <v>7.8</v>
      </c>
      <c r="H33" s="6">
        <v>4</v>
      </c>
      <c r="I33" s="6">
        <v>7.8</v>
      </c>
      <c r="J33" s="6">
        <v>4</v>
      </c>
      <c r="K33" s="6">
        <v>7.8</v>
      </c>
      <c r="L33" s="6">
        <v>4</v>
      </c>
      <c r="M33" s="6">
        <v>7.8</v>
      </c>
    </row>
    <row r="34" spans="1:13" x14ac:dyDescent="0.35">
      <c r="A34" s="3"/>
      <c r="B34" s="3"/>
      <c r="C34" s="4" t="s">
        <v>47</v>
      </c>
      <c r="D34" s="5">
        <f>SUM(F4:F33)</f>
        <v>120</v>
      </c>
      <c r="E34" s="3"/>
      <c r="F34" s="3"/>
      <c r="H34" s="4" t="s">
        <v>48</v>
      </c>
      <c r="I34" s="5">
        <f>(U34*0.875)/144</f>
        <v>0</v>
      </c>
    </row>
    <row r="35" spans="1:13" x14ac:dyDescent="0.35">
      <c r="A35" s="3"/>
      <c r="B35" s="3"/>
      <c r="C35" s="4" t="s">
        <v>54</v>
      </c>
      <c r="D35" s="5">
        <f>SUM(H4:H33)</f>
        <v>120</v>
      </c>
      <c r="E35" s="3"/>
      <c r="F35" s="3"/>
      <c r="H35" s="4" t="s">
        <v>56</v>
      </c>
      <c r="I35" s="5">
        <f>(V34*0.875)/144</f>
        <v>0</v>
      </c>
    </row>
    <row r="36" spans="1:13" x14ac:dyDescent="0.35">
      <c r="A36" s="3"/>
      <c r="B36" s="3"/>
      <c r="C36" s="4" t="s">
        <v>55</v>
      </c>
      <c r="D36" s="5">
        <f>SUM(J4:J33)</f>
        <v>120</v>
      </c>
      <c r="E36" s="3"/>
      <c r="F36" s="3"/>
      <c r="H36" s="4" t="s">
        <v>57</v>
      </c>
      <c r="I36" s="5">
        <f>(W34*0.875)/144</f>
        <v>0</v>
      </c>
    </row>
    <row r="37" spans="1:13" x14ac:dyDescent="0.35">
      <c r="A37" s="3"/>
      <c r="B37" s="3"/>
      <c r="C37" s="4" t="s">
        <v>49</v>
      </c>
      <c r="D37" s="5">
        <f>SUM(L4:L33)</f>
        <v>120</v>
      </c>
      <c r="E37" s="3"/>
      <c r="F37" s="3"/>
      <c r="H37" s="4" t="s">
        <v>50</v>
      </c>
      <c r="I37" s="5">
        <f>(X34*0.875)/144</f>
        <v>0</v>
      </c>
    </row>
    <row r="38" spans="1:13" x14ac:dyDescent="0.35">
      <c r="A38" s="3"/>
      <c r="B38" s="3"/>
      <c r="C38" s="4" t="s">
        <v>51</v>
      </c>
      <c r="D38" s="4" t="s">
        <v>53</v>
      </c>
      <c r="E38" s="5">
        <v>480</v>
      </c>
      <c r="F38" s="3"/>
      <c r="H38" s="4" t="s">
        <v>52</v>
      </c>
      <c r="I38" s="5">
        <f>SUM(I34:I37)</f>
        <v>0</v>
      </c>
    </row>
  </sheetData>
  <conditionalFormatting sqref="B4:B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cp:lastPrinted>2021-09-23T22:21:04Z</cp:lastPrinted>
  <dcterms:modified xsi:type="dcterms:W3CDTF">2021-09-24T00:04:11Z</dcterms:modified>
</cp:coreProperties>
</file>