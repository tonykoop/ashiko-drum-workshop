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Tony\Documents\CAD\Wood Stave Instruments\Ashiko Drums\"/>
    </mc:Choice>
  </mc:AlternateContent>
  <bookViews>
    <workbookView xWindow="0" yWindow="450" windowWidth="16095" windowHeight="19680" firstSheet="1" activeTab="4"/>
  </bookViews>
  <sheets>
    <sheet name="GlobalVariables" sheetId="17" r:id="rId1"/>
    <sheet name="Design Table" sheetId="16" r:id="rId2"/>
    <sheet name="Ashiko Variables" sheetId="15" r:id="rId3"/>
    <sheet name="Ashikos" sheetId="14" r:id="rId4"/>
    <sheet name="Method" sheetId="11" r:id="rId5"/>
  </sheets>
  <externalReferences>
    <externalReference r:id="rId6"/>
    <externalReference r:id="rId7"/>
  </externalReferences>
  <definedNames>
    <definedName name="Family" localSheetId="0">[2]Sheet1!$A$2</definedName>
    <definedName name="Family">'Design Table'!$A$2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" i="16" l="1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3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12" i="17"/>
  <c r="B3" i="17"/>
  <c r="D2" i="17"/>
  <c r="B6" i="17" s="1"/>
  <c r="B5" i="17" l="1"/>
  <c r="D5" i="17" s="1"/>
  <c r="E27" i="16"/>
  <c r="D27" i="16"/>
  <c r="C27" i="16"/>
  <c r="E26" i="16"/>
  <c r="D26" i="16"/>
  <c r="C26" i="16"/>
  <c r="E25" i="16"/>
  <c r="D25" i="16"/>
  <c r="C25" i="16"/>
  <c r="E24" i="16"/>
  <c r="D24" i="16"/>
  <c r="C24" i="16"/>
  <c r="E23" i="16"/>
  <c r="D23" i="16"/>
  <c r="C23" i="16"/>
  <c r="E22" i="16"/>
  <c r="D22" i="16"/>
  <c r="C22" i="16"/>
  <c r="E21" i="16"/>
  <c r="D21" i="16"/>
  <c r="C21" i="16"/>
  <c r="E20" i="16"/>
  <c r="D20" i="16"/>
  <c r="C20" i="16"/>
  <c r="E19" i="16"/>
  <c r="D19" i="16"/>
  <c r="C19" i="16"/>
  <c r="E18" i="16"/>
  <c r="D18" i="16"/>
  <c r="C18" i="16"/>
  <c r="E17" i="16"/>
  <c r="D17" i="16"/>
  <c r="C17" i="16"/>
  <c r="E16" i="16"/>
  <c r="D16" i="16"/>
  <c r="C16" i="16"/>
  <c r="E15" i="16"/>
  <c r="D15" i="16"/>
  <c r="C15" i="16"/>
  <c r="E14" i="16"/>
  <c r="D14" i="16"/>
  <c r="C14" i="16"/>
  <c r="E13" i="16"/>
  <c r="D13" i="16"/>
  <c r="C13" i="16"/>
  <c r="E12" i="16"/>
  <c r="D12" i="16"/>
  <c r="C12" i="16"/>
  <c r="E11" i="16"/>
  <c r="D11" i="16"/>
  <c r="C11" i="16"/>
  <c r="E10" i="16"/>
  <c r="D10" i="16"/>
  <c r="C10" i="16"/>
  <c r="E9" i="16"/>
  <c r="D9" i="16"/>
  <c r="C9" i="16"/>
  <c r="E8" i="16"/>
  <c r="D8" i="16"/>
  <c r="C8" i="16"/>
  <c r="E7" i="16"/>
  <c r="D7" i="16"/>
  <c r="C7" i="16"/>
  <c r="E6" i="16"/>
  <c r="D6" i="16"/>
  <c r="C6" i="16"/>
  <c r="E5" i="16"/>
  <c r="D5" i="16"/>
  <c r="C5" i="16"/>
  <c r="E4" i="16"/>
  <c r="D4" i="16"/>
  <c r="C4" i="16"/>
  <c r="E3" i="16"/>
  <c r="D3" i="16"/>
  <c r="C3" i="16"/>
  <c r="M7" i="14" l="1"/>
  <c r="J7" i="14"/>
  <c r="F7" i="14"/>
  <c r="E7" i="14"/>
  <c r="B7" i="14"/>
  <c r="J6" i="14"/>
  <c r="I6" i="14"/>
  <c r="F6" i="14"/>
  <c r="B6" i="14"/>
  <c r="A15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B19" i="14"/>
  <c r="B20" i="14" s="1"/>
  <c r="C19" i="14"/>
  <c r="C20" i="14" s="1"/>
  <c r="D19" i="14"/>
  <c r="D20" i="14" s="1"/>
  <c r="E19" i="14"/>
  <c r="E20" i="14" s="1"/>
  <c r="F19" i="14"/>
  <c r="F20" i="14" s="1"/>
  <c r="G19" i="14"/>
  <c r="G20" i="14" s="1"/>
  <c r="H19" i="14"/>
  <c r="H20" i="14" s="1"/>
  <c r="I19" i="14"/>
  <c r="I20" i="14" s="1"/>
  <c r="J19" i="14"/>
  <c r="J20" i="14" s="1"/>
  <c r="K19" i="14"/>
  <c r="K20" i="14" s="1"/>
  <c r="L19" i="14"/>
  <c r="L20" i="14" s="1"/>
  <c r="M19" i="14"/>
  <c r="M20" i="14" s="1"/>
  <c r="A2" i="14"/>
  <c r="D2" i="15"/>
  <c r="L7" i="14" s="1"/>
  <c r="D3" i="15"/>
  <c r="E6" i="14" l="1"/>
  <c r="M6" i="14"/>
  <c r="I7" i="14"/>
  <c r="C6" i="14"/>
  <c r="G6" i="14"/>
  <c r="K6" i="14"/>
  <c r="C7" i="14"/>
  <c r="G7" i="14"/>
  <c r="K7" i="14"/>
  <c r="D6" i="14"/>
  <c r="H6" i="14"/>
  <c r="L6" i="14"/>
  <c r="D7" i="14"/>
  <c r="H7" i="14"/>
  <c r="M24" i="14"/>
  <c r="F21" i="14"/>
  <c r="B22" i="14"/>
  <c r="J23" i="14"/>
  <c r="F23" i="14"/>
  <c r="B23" i="14"/>
  <c r="J22" i="14"/>
  <c r="M23" i="14"/>
  <c r="E23" i="14"/>
  <c r="C22" i="14"/>
  <c r="B24" i="14"/>
  <c r="L23" i="14"/>
  <c r="H23" i="14"/>
  <c r="D23" i="14"/>
  <c r="B21" i="14"/>
  <c r="J21" i="14"/>
  <c r="F22" i="14"/>
  <c r="F24" i="14"/>
  <c r="I23" i="14"/>
  <c r="G21" i="14"/>
  <c r="K22" i="14"/>
  <c r="K24" i="14"/>
  <c r="G24" i="14"/>
  <c r="C24" i="14"/>
  <c r="C21" i="14"/>
  <c r="K21" i="14"/>
  <c r="G22" i="14"/>
  <c r="J24" i="14"/>
  <c r="C23" i="14"/>
  <c r="G23" i="14"/>
  <c r="K23" i="14"/>
  <c r="D21" i="14"/>
  <c r="H21" i="14"/>
  <c r="L21" i="14"/>
  <c r="D22" i="14"/>
  <c r="H22" i="14"/>
  <c r="L22" i="14"/>
  <c r="D24" i="14"/>
  <c r="H24" i="14"/>
  <c r="L24" i="14"/>
  <c r="E21" i="14"/>
  <c r="I21" i="14"/>
  <c r="M21" i="14"/>
  <c r="E22" i="14"/>
  <c r="I22" i="14"/>
  <c r="M22" i="14"/>
  <c r="E24" i="14"/>
  <c r="I24" i="14"/>
  <c r="B5" i="14"/>
  <c r="B13" i="14" s="1"/>
  <c r="B4" i="14"/>
  <c r="B8" i="14" s="1"/>
  <c r="B9" i="14" s="1"/>
  <c r="C5" i="14"/>
  <c r="C4" i="14"/>
  <c r="C8" i="14" s="1"/>
  <c r="C9" i="14" s="1"/>
  <c r="D5" i="14"/>
  <c r="D4" i="14"/>
  <c r="D8" i="14" s="1"/>
  <c r="D9" i="14" s="1"/>
  <c r="E5" i="14"/>
  <c r="E4" i="14"/>
  <c r="E8" i="14" s="1"/>
  <c r="E9" i="14" s="1"/>
  <c r="F5" i="14"/>
  <c r="F4" i="14"/>
  <c r="F8" i="14" s="1"/>
  <c r="F9" i="14" s="1"/>
  <c r="G5" i="14"/>
  <c r="G4" i="14"/>
  <c r="G8" i="14" s="1"/>
  <c r="G9" i="14" s="1"/>
  <c r="H5" i="14"/>
  <c r="H13" i="14" s="1"/>
  <c r="H4" i="14"/>
  <c r="H8" i="14" s="1"/>
  <c r="H9" i="14" s="1"/>
  <c r="I5" i="14"/>
  <c r="I12" i="14" s="1"/>
  <c r="I4" i="14"/>
  <c r="I8" i="14" s="1"/>
  <c r="I9" i="14" s="1"/>
  <c r="J5" i="14"/>
  <c r="J4" i="14"/>
  <c r="J8" i="14" s="1"/>
  <c r="J9" i="14" s="1"/>
  <c r="K5" i="14"/>
  <c r="K4" i="14"/>
  <c r="K8" i="14" s="1"/>
  <c r="K9" i="14" s="1"/>
  <c r="L5" i="14"/>
  <c r="L4" i="14"/>
  <c r="L8" i="14" s="1"/>
  <c r="L9" i="14" s="1"/>
  <c r="M5" i="14"/>
  <c r="M4" i="14"/>
  <c r="M8" i="14" s="1"/>
  <c r="M9" i="14" s="1"/>
  <c r="G11" i="14"/>
  <c r="C11" i="14"/>
  <c r="I10" i="14"/>
  <c r="B5" i="15" l="1"/>
  <c r="B4" i="15"/>
  <c r="D12" i="14"/>
  <c r="M13" i="14"/>
  <c r="L10" i="14"/>
  <c r="J10" i="14"/>
  <c r="H10" i="14"/>
  <c r="F10" i="14"/>
  <c r="D10" i="14"/>
  <c r="B10" i="14"/>
  <c r="K13" i="14"/>
  <c r="G13" i="14"/>
  <c r="C13" i="14"/>
  <c r="M11" i="14"/>
  <c r="K11" i="14"/>
  <c r="I11" i="14"/>
  <c r="E12" i="14"/>
  <c r="J12" i="14"/>
  <c r="D13" i="14"/>
  <c r="I13" i="14"/>
  <c r="G10" i="14"/>
  <c r="D11" i="14"/>
  <c r="H11" i="14"/>
  <c r="J11" i="14"/>
  <c r="L11" i="14"/>
  <c r="G12" i="14"/>
  <c r="F12" i="14"/>
  <c r="L12" i="14"/>
  <c r="E13" i="14"/>
  <c r="J13" i="14"/>
  <c r="E10" i="14"/>
  <c r="M10" i="14"/>
  <c r="E11" i="14"/>
  <c r="B12" i="14"/>
  <c r="H12" i="14"/>
  <c r="M12" i="14"/>
  <c r="F13" i="14"/>
  <c r="L13" i="14"/>
  <c r="C10" i="14"/>
  <c r="K10" i="14"/>
  <c r="B11" i="14"/>
  <c r="F11" i="14"/>
  <c r="K12" i="14"/>
  <c r="C12" i="14"/>
</calcChain>
</file>

<file path=xl/comments1.xml><?xml version="1.0" encoding="utf-8"?>
<comments xmlns="http://schemas.openxmlformats.org/spreadsheetml/2006/main">
  <authors>
    <author>Tony</author>
  </authors>
  <commentList>
    <comment ref="N4" authorId="0" shapeId="0">
      <text>
        <r>
          <rPr>
            <b/>
            <sz val="9"/>
            <color indexed="81"/>
            <rFont val="Tahoma"/>
            <family val="2"/>
          </rPr>
          <t>This instrument calculator is configured to dimension the staves from the height being proportional to the drum head diameter.</t>
        </r>
      </text>
    </comment>
    <comment ref="N5" authorId="0" shapeId="0">
      <text>
        <r>
          <rPr>
            <b/>
            <sz val="9"/>
            <color indexed="81"/>
            <rFont val="Tahoma"/>
            <family val="2"/>
          </rPr>
          <t>Dependant on φ - Could change dependant and independent variables (φ and Base Diameter) Base diameter could be set to a ratio or drum head diameter, ie 1/2, 3/8 etc. φ would then change as a result.</t>
        </r>
      </text>
    </comment>
    <comment ref="N8" authorId="0" shapeId="0">
      <text>
        <r>
          <rPr>
            <b/>
            <sz val="9"/>
            <color indexed="81"/>
            <rFont val="Tahoma"/>
            <family val="2"/>
          </rPr>
          <t>FlairLength=(Build Height)/cos(φ) or hyp=adj/cos(φ)</t>
        </r>
      </text>
    </comment>
    <comment ref="N9" authorId="0" shapeId="0">
      <text>
        <r>
          <rPr>
            <b/>
            <sz val="9"/>
            <color indexed="81"/>
            <rFont val="Tahoma"/>
            <family val="2"/>
          </rPr>
          <t>Cut To Length = Nominal Length + Extra Stave Length (rounded up to 1/8")</t>
        </r>
      </text>
    </comment>
    <comment ref="N12" authorId="0" shapeId="0">
      <text>
        <r>
          <rPr>
            <b/>
            <sz val="9"/>
            <color indexed="81"/>
            <rFont val="Tahoma"/>
            <family val="2"/>
          </rPr>
          <t>The next four dimensions are dependent on the joint between the staves.
Status = undecided</t>
        </r>
      </text>
    </comment>
    <comment ref="N13" authorId="0" shapeId="0">
      <text>
        <r>
          <rPr>
            <b/>
            <sz val="9"/>
            <color indexed="81"/>
            <rFont val="Tahoma"/>
            <family val="2"/>
          </rPr>
          <t>See notebook entry dated 4/27/13 Here t=B1/cos(φ)</t>
        </r>
      </text>
    </comment>
    <comment ref="N17" authorId="0" shapeId="0">
      <text>
        <r>
          <rPr>
            <b/>
            <sz val="9"/>
            <color indexed="81"/>
            <rFont val="Tahoma"/>
            <family val="2"/>
          </rPr>
          <t>This instrument calculator is configured to dimension the staves from the height being proportional to the drum head diameter.</t>
        </r>
      </text>
    </comment>
    <comment ref="N18" authorId="0" shapeId="0">
      <text>
        <r>
          <rPr>
            <b/>
            <sz val="9"/>
            <color indexed="81"/>
            <rFont val="Tahoma"/>
            <family val="2"/>
          </rPr>
          <t>Dependant on φ - Could change dependant and independent variables (φ and Base Diameter) Base diameter could be set to a ratio or drum head diameter, ie 1/2, 3/8 etc. φ would then change as a result.</t>
        </r>
      </text>
    </comment>
    <comment ref="N19" authorId="0" shapeId="0">
      <text>
        <r>
          <rPr>
            <b/>
            <sz val="9"/>
            <color indexed="81"/>
            <rFont val="Tahoma"/>
            <family val="2"/>
          </rPr>
          <t>FlairLength=(Build Height)/cos(φ) or hyp=adj/cos(φ)</t>
        </r>
      </text>
    </comment>
    <comment ref="N20" authorId="0" shapeId="0">
      <text>
        <r>
          <rPr>
            <b/>
            <sz val="9"/>
            <color indexed="81"/>
            <rFont val="Tahoma"/>
            <family val="2"/>
          </rPr>
          <t>Cut To Length = Nominal Length + Extra Stave Length (rounded up to 1/8")</t>
        </r>
      </text>
    </comment>
    <comment ref="N23" authorId="0" shapeId="0">
      <text>
        <r>
          <rPr>
            <b/>
            <sz val="9"/>
            <color indexed="81"/>
            <rFont val="Tahoma"/>
            <family val="2"/>
          </rPr>
          <t>The next four dimensions are dependent on the joint between the staves.
Status = undecided</t>
        </r>
      </text>
    </comment>
    <comment ref="N24" authorId="0" shapeId="0">
      <text>
        <r>
          <rPr>
            <b/>
            <sz val="9"/>
            <color indexed="81"/>
            <rFont val="Tahoma"/>
            <family val="2"/>
          </rPr>
          <t>See notebook entry dated 4/27/13 Here t=B1/cos(φ)</t>
        </r>
      </text>
    </comment>
  </commentList>
</comments>
</file>

<file path=xl/sharedStrings.xml><?xml version="1.0" encoding="utf-8"?>
<sst xmlns="http://schemas.openxmlformats.org/spreadsheetml/2006/main" count="153" uniqueCount="116">
  <si>
    <t>B</t>
  </si>
  <si>
    <t>A</t>
  </si>
  <si>
    <t>Bevel Radians:</t>
  </si>
  <si>
    <t>Cut To Length (in)</t>
  </si>
  <si>
    <t>Stencil</t>
  </si>
  <si>
    <t>Radial Arm Saw</t>
  </si>
  <si>
    <t>Drill Press</t>
  </si>
  <si>
    <t>Router</t>
  </si>
  <si>
    <t>45 Miter: A1-A3</t>
  </si>
  <si>
    <t>Dowel Bore w/ 9.5 degree Jig: B1-B3</t>
  </si>
  <si>
    <t>Dowel Bore into end grain: A1-A3</t>
  </si>
  <si>
    <t>Flute: A1-A3</t>
  </si>
  <si>
    <t>Xcut: Tops of A1-A3</t>
  </si>
  <si>
    <t>Xcut: Tops and Bottoms of B1-B3</t>
  </si>
  <si>
    <t>35.5 Miter: Tops of B1-B3</t>
  </si>
  <si>
    <t>1/4" Bit</t>
  </si>
  <si>
    <t>Right</t>
  </si>
  <si>
    <t>Left</t>
  </si>
  <si>
    <t>Inside</t>
  </si>
  <si>
    <t>Top</t>
  </si>
  <si>
    <t>Bottom</t>
  </si>
  <si>
    <t>Outside</t>
  </si>
  <si>
    <t>Tool</t>
  </si>
  <si>
    <t>Step</t>
  </si>
  <si>
    <t>Set Up</t>
  </si>
  <si>
    <t>Stave</t>
  </si>
  <si>
    <t>Face</t>
  </si>
  <si>
    <t>Pencil &amp; Tape Measure</t>
  </si>
  <si>
    <t>A &amp; B</t>
  </si>
  <si>
    <t>none</t>
  </si>
  <si>
    <t>30 degree bevel rip</t>
  </si>
  <si>
    <t>Rip: A1, A2, A3</t>
  </si>
  <si>
    <t>Right &amp; Left</t>
  </si>
  <si>
    <t>Rip: B1-B3</t>
  </si>
  <si>
    <t>90 degree Xcut</t>
  </si>
  <si>
    <t>Lengthwise Straight Edge Rip</t>
  </si>
  <si>
    <t>Conserve AMAP</t>
  </si>
  <si>
    <t>Number of Staves:</t>
  </si>
  <si>
    <t>Wood Type 1 ($/in^3)</t>
  </si>
  <si>
    <t>Wood Type 2 ($/in^3)</t>
  </si>
  <si>
    <t>Board Thickness (in):</t>
  </si>
  <si>
    <t>Saw Blade Kerf (in):</t>
  </si>
  <si>
    <t>Horizontal Kerf (in):</t>
  </si>
  <si>
    <t>Turned Shell OD - ID (in):</t>
  </si>
  <si>
    <t>Aspect Ratio (L/OD):</t>
  </si>
  <si>
    <t>Extra Stave Length (in):</t>
  </si>
  <si>
    <t>Drum Head Diameter (in)</t>
  </si>
  <si>
    <t>x</t>
  </si>
  <si>
    <r>
      <t>Degree of Flare (</t>
    </r>
    <r>
      <rPr>
        <b/>
        <sz val="11"/>
        <color theme="1"/>
        <rFont val="Calibri"/>
        <family val="2"/>
      </rPr>
      <t>φ</t>
    </r>
    <r>
      <rPr>
        <b/>
        <sz val="11"/>
        <color theme="1"/>
        <rFont val="Calibri"/>
        <family val="2"/>
        <scheme val="minor"/>
      </rPr>
      <t>):</t>
    </r>
  </si>
  <si>
    <t>Aspect Ratio (Height/OD):</t>
  </si>
  <si>
    <r>
      <t>Stave Bevel (</t>
    </r>
    <r>
      <rPr>
        <b/>
        <sz val="11"/>
        <color theme="1"/>
        <rFont val="Calibri"/>
        <family val="2"/>
      </rPr>
      <t>θ</t>
    </r>
    <r>
      <rPr>
        <b/>
        <sz val="11"/>
        <color theme="1"/>
        <rFont val="Calibri"/>
        <family val="2"/>
        <scheme val="minor"/>
      </rPr>
      <t>/2):</t>
    </r>
  </si>
  <si>
    <t>Head Inner Width (in)</t>
  </si>
  <si>
    <t>Head Outer Width (in)</t>
  </si>
  <si>
    <t>Base Inner Width (in)</t>
  </si>
  <si>
    <t>Base Outer Width (in)</t>
  </si>
  <si>
    <t>Slant Height (in)</t>
  </si>
  <si>
    <t>Perpendicular Build Height (in)</t>
  </si>
  <si>
    <t>Blade Tilt:</t>
  </si>
  <si>
    <t>Crosscut Angle:</t>
  </si>
  <si>
    <t>Aspect Ratio (BD/HD):</t>
  </si>
  <si>
    <t>Aspect Ratio (BH/HD):</t>
  </si>
  <si>
    <t>Drum Base Diameter (in)</t>
  </si>
  <si>
    <t>Sloped Based</t>
  </si>
  <si>
    <t>Head to Base Aspect Ratio Driven</t>
  </si>
  <si>
    <t>1/4</t>
  </si>
  <si>
    <t>5/16</t>
  </si>
  <si>
    <t>3/8</t>
  </si>
  <si>
    <t>7/16</t>
  </si>
  <si>
    <t>1/2</t>
  </si>
  <si>
    <t>9/16</t>
  </si>
  <si>
    <t>5/8</t>
  </si>
  <si>
    <t>11/16</t>
  </si>
  <si>
    <t>3/4</t>
  </si>
  <si>
    <t>13/16</t>
  </si>
  <si>
    <t>7/8</t>
  </si>
  <si>
    <t>Crosscut Angle@Sketch1</t>
  </si>
  <si>
    <t>Crosscut Angle 2@Sketch1</t>
  </si>
  <si>
    <t>BISW@Sketch1</t>
  </si>
  <si>
    <t>Cut To Length@Sketch1</t>
  </si>
  <si>
    <t>D1@Boss-Extrude1</t>
  </si>
  <si>
    <t>Degree of Flare (plus ninety)@Sketch3</t>
  </si>
  <si>
    <t>D3@Boss-Extrude1</t>
  </si>
  <si>
    <t>01. Stave B - C3</t>
  </si>
  <si>
    <t>02. Stave B - B2</t>
  </si>
  <si>
    <t>03. Stave B - A2#</t>
  </si>
  <si>
    <t>04. Stave B - A2</t>
  </si>
  <si>
    <t>05. Stave B - G2#</t>
  </si>
  <si>
    <t>06. Stave B - G2</t>
  </si>
  <si>
    <t>07. Stave B - F2#</t>
  </si>
  <si>
    <t>08. Stave B - F2</t>
  </si>
  <si>
    <t>09. Stave B - E2</t>
  </si>
  <si>
    <t>10. Stave B - D2#</t>
  </si>
  <si>
    <t>11. Stave B - D2</t>
  </si>
  <si>
    <t>12. Stave B - C2#</t>
  </si>
  <si>
    <t>13. Stave B - C2</t>
  </si>
  <si>
    <t>14. Stave B - B1</t>
  </si>
  <si>
    <t>15. Stave B - A1#</t>
  </si>
  <si>
    <t>16. Stave B - A1</t>
  </si>
  <si>
    <t>17. Stave B - G1#</t>
  </si>
  <si>
    <t>18. Stave B - G1</t>
  </si>
  <si>
    <t>19. Stave B - F1#</t>
  </si>
  <si>
    <t>20. Stave B - F1</t>
  </si>
  <si>
    <t>21. Stave B - E1</t>
  </si>
  <si>
    <t>22. Stave B - D1#</t>
  </si>
  <si>
    <t>23. Stave B - D1</t>
  </si>
  <si>
    <t>24. Stave B - C1#</t>
  </si>
  <si>
    <t>25. Stave B - C1</t>
  </si>
  <si>
    <t>Design Table for: Ashiko Staves</t>
  </si>
  <si>
    <t>Stave Bevel (180/n):</t>
  </si>
  <si>
    <t>Flare to Drone Ratio:</t>
  </si>
  <si>
    <t>Degree of Flare (φ):</t>
  </si>
  <si>
    <t>Bevel Angle:</t>
  </si>
  <si>
    <t>Bevel Compliment:</t>
  </si>
  <si>
    <t>Stave A Extra Length (in):</t>
  </si>
  <si>
    <t>Stave B Extra Length (in):</t>
  </si>
  <si>
    <t>Dado Depth (in):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</si>
</sst>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165" formatCode="0.000"/>
    <numFmt numFmtId="166" formatCode="0.0000"/>
    <numFmt numFmtId="167" formatCode="_(&quot;$&quot;* #,##0.000_);_(&quot;$&quot;* \(#,##0.0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52">
    <xf numFmtId="0" fontId="0" fillId="0" borderId="0" xfId="0"/>
    <xf numFmtId="2" fontId="0" fillId="0" borderId="0" xfId="0" applyNumberFormat="1"/>
    <xf numFmtId="2" fontId="0" fillId="0" borderId="1" xfId="0" applyNumberFormat="1" applyBorder="1"/>
    <xf numFmtId="0" fontId="0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right"/>
    </xf>
    <xf numFmtId="2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2" fontId="0" fillId="4" borderId="1" xfId="0" applyNumberFormat="1" applyFill="1" applyBorder="1"/>
    <xf numFmtId="12" fontId="0" fillId="4" borderId="1" xfId="0" applyNumberFormat="1" applyFill="1" applyBorder="1" applyAlignment="1">
      <alignment horizontal="right"/>
    </xf>
    <xf numFmtId="2" fontId="1" fillId="0" borderId="0" xfId="0" applyNumberFormat="1" applyFont="1" applyAlignment="1">
      <alignment horizontal="right"/>
    </xf>
    <xf numFmtId="2" fontId="1" fillId="0" borderId="1" xfId="0" applyNumberFormat="1" applyFont="1" applyBorder="1" applyAlignment="1">
      <alignment horizontal="right"/>
    </xf>
    <xf numFmtId="2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0" fontId="0" fillId="2" borderId="1" xfId="0" applyFont="1" applyFill="1" applyBorder="1"/>
    <xf numFmtId="1" fontId="1" fillId="3" borderId="1" xfId="0" applyNumberFormat="1" applyFont="1" applyFill="1" applyBorder="1" applyAlignment="1">
      <alignment horizontal="center"/>
    </xf>
    <xf numFmtId="165" fontId="0" fillId="0" borderId="0" xfId="0" applyNumberFormat="1"/>
    <xf numFmtId="167" fontId="0" fillId="0" borderId="1" xfId="1" applyNumberFormat="1" applyFont="1" applyBorder="1" applyAlignment="1">
      <alignment horizontal="right"/>
    </xf>
    <xf numFmtId="1" fontId="0" fillId="0" borderId="0" xfId="0" applyNumberFormat="1"/>
    <xf numFmtId="2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2" fontId="0" fillId="0" borderId="1" xfId="0" applyNumberFormat="1" applyBorder="1" applyAlignment="1">
      <alignment horizontal="right"/>
    </xf>
    <xf numFmtId="12" fontId="0" fillId="0" borderId="0" xfId="0" applyNumberFormat="1"/>
    <xf numFmtId="12" fontId="0" fillId="0" borderId="1" xfId="0" applyNumberFormat="1" applyBorder="1" applyAlignment="1">
      <alignment horizontal="right"/>
    </xf>
    <xf numFmtId="0" fontId="0" fillId="0" borderId="0" xfId="0" applyFont="1" applyAlignment="1">
      <alignment horizontal="left"/>
    </xf>
    <xf numFmtId="22" fontId="1" fillId="0" borderId="0" xfId="0" applyNumberFormat="1" applyFont="1"/>
    <xf numFmtId="14" fontId="0" fillId="0" borderId="0" xfId="0" applyNumberFormat="1" applyAlignment="1">
      <alignment wrapText="1"/>
    </xf>
    <xf numFmtId="1" fontId="0" fillId="0" borderId="0" xfId="0" applyNumberFormat="1" applyBorder="1" applyAlignment="1">
      <alignment horizontal="right"/>
    </xf>
    <xf numFmtId="2" fontId="1" fillId="0" borderId="1" xfId="0" applyNumberFormat="1" applyFont="1" applyBorder="1" applyAlignment="1"/>
    <xf numFmtId="2" fontId="1" fillId="0" borderId="0" xfId="0" applyNumberFormat="1" applyFont="1" applyBorder="1" applyAlignment="1">
      <alignment horizontal="right"/>
    </xf>
    <xf numFmtId="2" fontId="0" fillId="0" borderId="0" xfId="0" applyNumberFormat="1" applyBorder="1" applyAlignment="1">
      <alignment horizontal="right"/>
    </xf>
    <xf numFmtId="4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1" xfId="0" applyNumberFormat="1" applyBorder="1" applyAlignment="1">
      <alignment textRotation="45"/>
    </xf>
    <xf numFmtId="0" fontId="0" fillId="0" borderId="0" xfId="0" applyNumberFormat="1" applyBorder="1" applyAlignment="1">
      <alignment textRotation="45"/>
    </xf>
    <xf numFmtId="0" fontId="0" fillId="0" borderId="0" xfId="0" applyAlignment="1">
      <alignment textRotation="90"/>
    </xf>
    <xf numFmtId="0" fontId="1" fillId="0" borderId="0" xfId="0" applyFont="1" applyBorder="1" applyAlignment="1">
      <alignment horizontal="right"/>
    </xf>
    <xf numFmtId="12" fontId="0" fillId="0" borderId="0" xfId="0" applyNumberFormat="1" applyBorder="1"/>
    <xf numFmtId="165" fontId="0" fillId="0" borderId="0" xfId="0" applyNumberFormat="1" applyBorder="1" applyAlignment="1">
      <alignment horizontal="right"/>
    </xf>
    <xf numFmtId="165" fontId="0" fillId="0" borderId="0" xfId="0" applyNumberFormat="1" applyBorder="1"/>
    <xf numFmtId="167" fontId="0" fillId="0" borderId="0" xfId="1" applyNumberFormat="1" applyFont="1" applyBorder="1" applyAlignment="1">
      <alignment horizontal="right"/>
    </xf>
    <xf numFmtId="2" fontId="1" fillId="0" borderId="0" xfId="0" applyNumberFormat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166" fontId="0" fillId="0" borderId="0" xfId="0" applyNumberFormat="1" applyBorder="1" applyAlignment="1">
      <alignment horizontal="right"/>
    </xf>
    <xf numFmtId="2" fontId="0" fillId="0" borderId="0" xfId="0" applyNumberFormat="1" applyBorder="1" applyAlignment="1"/>
    <xf numFmtId="2" fontId="3" fillId="0" borderId="0" xfId="0" applyNumberFormat="1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C66FF"/>
      <color rgb="FF4ED25B"/>
      <color rgb="FF66CCFF"/>
      <color rgb="FFFF6600"/>
      <color rgb="FFFF9966"/>
      <color rgb="FFCC9900"/>
      <color rgb="FF66FF66"/>
      <color rgb="FF996600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y/Documents/CAD/Wood%20Stave%20Instruments/Didgeridoos/Stave%20Didge%20Design%20Guidelin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y/Documents/CAD/Wood%20Stave%20Instruments/Didgeridoos/Stave%20A%20Design%20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Variables"/>
      <sheetName val="Design Table"/>
      <sheetName val="Aspect Ratios"/>
      <sheetName val="Method"/>
    </sheetNames>
    <sheetDataSet>
      <sheetData sheetId="0">
        <row r="1">
          <cell r="B1">
            <v>0.75</v>
          </cell>
        </row>
      </sheetData>
      <sheetData sheetId="1">
        <row r="2">
          <cell r="I2">
            <v>9.1237693511175628</v>
          </cell>
          <cell r="M2">
            <v>0.87699999999999989</v>
          </cell>
        </row>
        <row r="3">
          <cell r="I3">
            <v>9.6586216157106364</v>
          </cell>
          <cell r="M3">
            <v>0.91049999999999986</v>
          </cell>
        </row>
        <row r="4">
          <cell r="I4">
            <v>10.216772885921868</v>
          </cell>
          <cell r="M4">
            <v>0.94499999999999995</v>
          </cell>
        </row>
        <row r="5">
          <cell r="I5">
            <v>10.825844074383193</v>
          </cell>
          <cell r="M5">
            <v>0.98249999999999993</v>
          </cell>
        </row>
        <row r="6">
          <cell r="I6">
            <v>11.488067782476996</v>
          </cell>
          <cell r="M6">
            <v>1.0859999999999999</v>
          </cell>
        </row>
        <row r="7">
          <cell r="I7">
            <v>12.1612863063852</v>
          </cell>
          <cell r="M7">
            <v>1.1274999999999997</v>
          </cell>
        </row>
        <row r="8">
          <cell r="I8">
            <v>12.875346879129372</v>
          </cell>
          <cell r="M8">
            <v>1.1719999999999997</v>
          </cell>
        </row>
        <row r="9">
          <cell r="I9">
            <v>13.631660304664594</v>
          </cell>
          <cell r="M9">
            <v>1.2184999999999997</v>
          </cell>
        </row>
        <row r="10">
          <cell r="I10">
            <v>14.458487306541501</v>
          </cell>
          <cell r="M10">
            <v>1.3324999999999998</v>
          </cell>
        </row>
        <row r="11">
          <cell r="I11">
            <v>15.308593755798478</v>
          </cell>
          <cell r="M11">
            <v>1.3849999999999998</v>
          </cell>
        </row>
        <row r="12">
          <cell r="I12">
            <v>16.20714808956458</v>
          </cell>
          <cell r="M12">
            <v>1.4404999999999999</v>
          </cell>
        </row>
        <row r="13">
          <cell r="I13">
            <v>17.185488856320188</v>
          </cell>
          <cell r="M13">
            <v>1.5634999999999999</v>
          </cell>
        </row>
        <row r="14">
          <cell r="I14">
            <v>18.198219140155043</v>
          </cell>
          <cell r="M14">
            <v>1.6264999999999998</v>
          </cell>
        </row>
        <row r="15">
          <cell r="I15">
            <v>19.265004101620018</v>
          </cell>
          <cell r="M15">
            <v>1.6924999999999999</v>
          </cell>
        </row>
        <row r="16">
          <cell r="I16">
            <v>20.42551414703826</v>
          </cell>
          <cell r="M16">
            <v>1.8264999999999998</v>
          </cell>
        </row>
        <row r="17">
          <cell r="I17">
            <v>21.62634052130327</v>
          </cell>
          <cell r="M17">
            <v>1.9009999999999998</v>
          </cell>
        </row>
        <row r="18">
          <cell r="I18">
            <v>22.900092682564644</v>
          </cell>
          <cell r="M18">
            <v>1.9799999999999998</v>
          </cell>
        </row>
        <row r="19">
          <cell r="I19">
            <v>24.246529730381052</v>
          </cell>
          <cell r="M19">
            <v>2.0629999999999997</v>
          </cell>
        </row>
        <row r="20">
          <cell r="I20">
            <v>25.674650875869396</v>
          </cell>
          <cell r="M20">
            <v>2.1514999999999995</v>
          </cell>
        </row>
        <row r="21">
          <cell r="I21">
            <v>27.20953795757751</v>
          </cell>
          <cell r="M21">
            <v>2.3089999999999997</v>
          </cell>
        </row>
        <row r="22">
          <cell r="I22">
            <v>28.819050378452463</v>
          </cell>
          <cell r="M22">
            <v>2.4084999999999996</v>
          </cell>
        </row>
        <row r="23">
          <cell r="I23">
            <v>30.515797001744499</v>
          </cell>
          <cell r="M23">
            <v>2.5134999999999996</v>
          </cell>
        </row>
        <row r="24">
          <cell r="I24">
            <v>32.312905669276702</v>
          </cell>
          <cell r="M24">
            <v>2.6249999999999996</v>
          </cell>
        </row>
        <row r="25">
          <cell r="I25">
            <v>34.218891947861685</v>
          </cell>
          <cell r="M25">
            <v>2.7429999999999994</v>
          </cell>
        </row>
        <row r="26">
          <cell r="I26">
            <v>36.244352515531389</v>
          </cell>
          <cell r="M26">
            <v>2.8684999999999996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zoomScale="75" workbookViewId="0">
      <selection activeCell="B3" sqref="B3"/>
    </sheetView>
  </sheetViews>
  <sheetFormatPr defaultRowHeight="15" x14ac:dyDescent="0.25"/>
  <cols>
    <col min="1" max="1" width="40.5703125" customWidth="1"/>
    <col min="2" max="2" width="10.28515625" customWidth="1"/>
    <col min="3" max="3" width="28.7109375" customWidth="1"/>
  </cols>
  <sheetData>
    <row r="1" spans="1:7" x14ac:dyDescent="0.25">
      <c r="A1" s="42" t="s">
        <v>40</v>
      </c>
      <c r="B1" s="33">
        <v>0.75</v>
      </c>
    </row>
    <row r="2" spans="1:7" x14ac:dyDescent="0.25">
      <c r="A2" s="32" t="s">
        <v>37</v>
      </c>
      <c r="B2" s="30">
        <v>6</v>
      </c>
      <c r="C2" t="s">
        <v>108</v>
      </c>
      <c r="D2" s="33">
        <f>180/B2</f>
        <v>30</v>
      </c>
    </row>
    <row r="3" spans="1:7" x14ac:dyDescent="0.25">
      <c r="A3" s="32" t="s">
        <v>109</v>
      </c>
      <c r="B3" s="43">
        <f>(1/(B2/2))</f>
        <v>0.33333333333333331</v>
      </c>
    </row>
    <row r="4" spans="1:7" x14ac:dyDescent="0.25">
      <c r="A4" s="32" t="s">
        <v>110</v>
      </c>
      <c r="B4" s="33">
        <v>9.5</v>
      </c>
    </row>
    <row r="5" spans="1:7" x14ac:dyDescent="0.25">
      <c r="A5" s="32" t="s">
        <v>111</v>
      </c>
      <c r="B5" s="44">
        <f>DEGREES(ASIN(SIN((90-$B$4)*PI()/180)*SIN($D$2*PI()/180)))</f>
        <v>29.54735891028448</v>
      </c>
      <c r="C5" t="s">
        <v>112</v>
      </c>
      <c r="D5" s="19">
        <f>90-B5</f>
        <v>60.45264108971552</v>
      </c>
    </row>
    <row r="6" spans="1:7" x14ac:dyDescent="0.25">
      <c r="A6" s="32" t="s">
        <v>58</v>
      </c>
      <c r="B6" s="45">
        <f>DEGREES(ATAN(COS((90-$B$4)*PI()/180)*TAN($D$2*PI()/180)))</f>
        <v>5.4432950883360407</v>
      </c>
    </row>
    <row r="7" spans="1:7" x14ac:dyDescent="0.25">
      <c r="A7" s="32" t="s">
        <v>113</v>
      </c>
      <c r="B7" s="33">
        <v>1</v>
      </c>
    </row>
    <row r="8" spans="1:7" x14ac:dyDescent="0.25">
      <c r="A8" s="32" t="s">
        <v>114</v>
      </c>
      <c r="B8" s="33">
        <v>0</v>
      </c>
    </row>
    <row r="9" spans="1:7" x14ac:dyDescent="0.25">
      <c r="A9" s="42" t="s">
        <v>38</v>
      </c>
      <c r="B9" s="46">
        <v>0.15</v>
      </c>
    </row>
    <row r="10" spans="1:7" x14ac:dyDescent="0.25">
      <c r="A10" s="47" t="s">
        <v>39</v>
      </c>
      <c r="B10" s="46">
        <v>0.15</v>
      </c>
    </row>
    <row r="11" spans="1:7" x14ac:dyDescent="0.25">
      <c r="A11" s="48" t="s">
        <v>41</v>
      </c>
      <c r="B11" s="44">
        <v>9.5000000000000001E-2</v>
      </c>
    </row>
    <row r="12" spans="1:7" x14ac:dyDescent="0.25">
      <c r="A12" s="32" t="s">
        <v>42</v>
      </c>
      <c r="B12" s="49">
        <f>B11/COS(PI()/$B$2)</f>
        <v>0.10969655114602889</v>
      </c>
      <c r="C12" s="50"/>
      <c r="E12" s="51"/>
      <c r="F12" s="51"/>
      <c r="G12" s="51"/>
    </row>
    <row r="13" spans="1:7" x14ac:dyDescent="0.25">
      <c r="A13" s="48" t="s">
        <v>115</v>
      </c>
      <c r="B13" s="19">
        <v>0.375</v>
      </c>
    </row>
  </sheetData>
  <mergeCells count="1">
    <mergeCell ref="E12:G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B3" sqref="B3"/>
    </sheetView>
  </sheetViews>
  <sheetFormatPr defaultRowHeight="15" x14ac:dyDescent="0.25"/>
  <cols>
    <col min="1" max="1" width="16.42578125" style="34" customWidth="1"/>
    <col min="2" max="3" width="7.28515625" style="37" customWidth="1"/>
    <col min="4" max="4" width="8.42578125" style="37" customWidth="1"/>
    <col min="5" max="5" width="7.85546875" style="37" customWidth="1"/>
    <col min="6" max="6" width="5.7109375" style="37" customWidth="1"/>
    <col min="7" max="7" width="9.140625" style="37" customWidth="1"/>
    <col min="8" max="8" width="8" style="37" customWidth="1"/>
  </cols>
  <sheetData>
    <row r="1" spans="1:8" x14ac:dyDescent="0.25">
      <c r="A1" s="34" t="s">
        <v>107</v>
      </c>
    </row>
    <row r="2" spans="1:8" s="41" customFormat="1" ht="138.75" x14ac:dyDescent="0.25">
      <c r="A2" s="38"/>
      <c r="B2" s="39" t="s">
        <v>75</v>
      </c>
      <c r="C2" s="39" t="s">
        <v>76</v>
      </c>
      <c r="D2" s="39" t="s">
        <v>77</v>
      </c>
      <c r="E2" s="39" t="s">
        <v>78</v>
      </c>
      <c r="F2" s="39" t="s">
        <v>79</v>
      </c>
      <c r="G2" s="39" t="s">
        <v>80</v>
      </c>
      <c r="H2" s="40" t="s">
        <v>81</v>
      </c>
    </row>
    <row r="3" spans="1:8" x14ac:dyDescent="0.25">
      <c r="A3" s="34" t="s">
        <v>82</v>
      </c>
      <c r="B3" s="37">
        <f>GlobalVariables!$B$6+90</f>
        <v>95.443295088336043</v>
      </c>
      <c r="C3" s="37">
        <f>B3</f>
        <v>95.443295088336043</v>
      </c>
      <c r="D3" s="1">
        <f>'[1]Design Table'!$M2</f>
        <v>0.87699999999999989</v>
      </c>
      <c r="E3" s="1">
        <f>'[1]Design Table'!$I2</f>
        <v>9.1237693511175628</v>
      </c>
      <c r="F3" s="1">
        <f>GlobalVariables!$B$1</f>
        <v>0.75</v>
      </c>
      <c r="G3" s="1">
        <f>GlobalVariables!$B$4+90</f>
        <v>99.5</v>
      </c>
      <c r="H3" s="37">
        <f>GlobalVariables!$B$5</f>
        <v>29.54735891028448</v>
      </c>
    </row>
    <row r="4" spans="1:8" x14ac:dyDescent="0.25">
      <c r="A4" s="34" t="s">
        <v>83</v>
      </c>
      <c r="B4" s="37">
        <f>GlobalVariables!$B$6+90</f>
        <v>95.443295088336043</v>
      </c>
      <c r="C4" s="37">
        <f t="shared" ref="C4:C27" si="0">B4</f>
        <v>95.443295088336043</v>
      </c>
      <c r="D4" s="1">
        <f>'[1]Design Table'!$M3</f>
        <v>0.91049999999999986</v>
      </c>
      <c r="E4" s="1">
        <f>'[1]Design Table'!$I3</f>
        <v>9.6586216157106364</v>
      </c>
      <c r="F4" s="1">
        <f>GlobalVariables!$B$1</f>
        <v>0.75</v>
      </c>
      <c r="G4" s="1">
        <f>GlobalVariables!$B$4+90</f>
        <v>99.5</v>
      </c>
      <c r="H4" s="37">
        <f>GlobalVariables!$B$5</f>
        <v>29.54735891028448</v>
      </c>
    </row>
    <row r="5" spans="1:8" x14ac:dyDescent="0.25">
      <c r="A5" s="34" t="s">
        <v>84</v>
      </c>
      <c r="B5" s="37">
        <f>GlobalVariables!$B$6+90</f>
        <v>95.443295088336043</v>
      </c>
      <c r="C5" s="37">
        <f t="shared" si="0"/>
        <v>95.443295088336043</v>
      </c>
      <c r="D5" s="1">
        <f>'[1]Design Table'!$M4</f>
        <v>0.94499999999999995</v>
      </c>
      <c r="E5" s="1">
        <f>'[1]Design Table'!$I4</f>
        <v>10.216772885921868</v>
      </c>
      <c r="F5" s="1">
        <f>GlobalVariables!$B$1</f>
        <v>0.75</v>
      </c>
      <c r="G5" s="1">
        <f>GlobalVariables!$B$4+90</f>
        <v>99.5</v>
      </c>
      <c r="H5" s="37">
        <f>GlobalVariables!$B$5</f>
        <v>29.54735891028448</v>
      </c>
    </row>
    <row r="6" spans="1:8" x14ac:dyDescent="0.25">
      <c r="A6" s="34" t="s">
        <v>85</v>
      </c>
      <c r="B6" s="37">
        <f>GlobalVariables!$B$6+90</f>
        <v>95.443295088336043</v>
      </c>
      <c r="C6" s="37">
        <f t="shared" si="0"/>
        <v>95.443295088336043</v>
      </c>
      <c r="D6" s="1">
        <f>'[1]Design Table'!$M5</f>
        <v>0.98249999999999993</v>
      </c>
      <c r="E6" s="1">
        <f>'[1]Design Table'!$I5</f>
        <v>10.825844074383193</v>
      </c>
      <c r="F6" s="1">
        <f>GlobalVariables!$B$1</f>
        <v>0.75</v>
      </c>
      <c r="G6" s="1">
        <f>GlobalVariables!$B$4+90</f>
        <v>99.5</v>
      </c>
      <c r="H6" s="37">
        <f>GlobalVariables!$B$5</f>
        <v>29.54735891028448</v>
      </c>
    </row>
    <row r="7" spans="1:8" x14ac:dyDescent="0.25">
      <c r="A7" s="34" t="s">
        <v>86</v>
      </c>
      <c r="B7" s="37">
        <f>GlobalVariables!$B$6+90</f>
        <v>95.443295088336043</v>
      </c>
      <c r="C7" s="37">
        <f t="shared" si="0"/>
        <v>95.443295088336043</v>
      </c>
      <c r="D7" s="1">
        <f>'[1]Design Table'!$M6</f>
        <v>1.0859999999999999</v>
      </c>
      <c r="E7" s="1">
        <f>'[1]Design Table'!$I6</f>
        <v>11.488067782476996</v>
      </c>
      <c r="F7" s="1">
        <f>GlobalVariables!$B$1</f>
        <v>0.75</v>
      </c>
      <c r="G7" s="1">
        <f>GlobalVariables!$B$4+90</f>
        <v>99.5</v>
      </c>
      <c r="H7" s="37">
        <f>GlobalVariables!$B$5</f>
        <v>29.54735891028448</v>
      </c>
    </row>
    <row r="8" spans="1:8" x14ac:dyDescent="0.25">
      <c r="A8" s="34" t="s">
        <v>87</v>
      </c>
      <c r="B8" s="37">
        <f>GlobalVariables!$B$6+90</f>
        <v>95.443295088336043</v>
      </c>
      <c r="C8" s="37">
        <f t="shared" si="0"/>
        <v>95.443295088336043</v>
      </c>
      <c r="D8" s="1">
        <f>'[1]Design Table'!$M7</f>
        <v>1.1274999999999997</v>
      </c>
      <c r="E8" s="1">
        <f>'[1]Design Table'!$I7</f>
        <v>12.1612863063852</v>
      </c>
      <c r="F8" s="1">
        <f>GlobalVariables!$B$1</f>
        <v>0.75</v>
      </c>
      <c r="G8" s="1">
        <f>GlobalVariables!$B$4+90</f>
        <v>99.5</v>
      </c>
      <c r="H8" s="37">
        <f>GlobalVariables!$B$5</f>
        <v>29.54735891028448</v>
      </c>
    </row>
    <row r="9" spans="1:8" x14ac:dyDescent="0.25">
      <c r="A9" s="34" t="s">
        <v>88</v>
      </c>
      <c r="B9" s="37">
        <f>GlobalVariables!$B$6+90</f>
        <v>95.443295088336043</v>
      </c>
      <c r="C9" s="37">
        <f t="shared" si="0"/>
        <v>95.443295088336043</v>
      </c>
      <c r="D9" s="1">
        <f>'[1]Design Table'!$M8</f>
        <v>1.1719999999999997</v>
      </c>
      <c r="E9" s="1">
        <f>'[1]Design Table'!$I8</f>
        <v>12.875346879129372</v>
      </c>
      <c r="F9" s="1">
        <f>GlobalVariables!$B$1</f>
        <v>0.75</v>
      </c>
      <c r="G9" s="1">
        <f>GlobalVariables!$B$4+90</f>
        <v>99.5</v>
      </c>
      <c r="H9" s="37">
        <f>GlobalVariables!$B$5</f>
        <v>29.54735891028448</v>
      </c>
    </row>
    <row r="10" spans="1:8" x14ac:dyDescent="0.25">
      <c r="A10" s="34" t="s">
        <v>89</v>
      </c>
      <c r="B10" s="37">
        <f>GlobalVariables!$B$6+90</f>
        <v>95.443295088336043</v>
      </c>
      <c r="C10" s="37">
        <f t="shared" si="0"/>
        <v>95.443295088336043</v>
      </c>
      <c r="D10" s="1">
        <f>'[1]Design Table'!$M9</f>
        <v>1.2184999999999997</v>
      </c>
      <c r="E10" s="1">
        <f>'[1]Design Table'!$I9</f>
        <v>13.631660304664594</v>
      </c>
      <c r="F10" s="1">
        <f>GlobalVariables!$B$1</f>
        <v>0.75</v>
      </c>
      <c r="G10" s="1">
        <f>GlobalVariables!$B$4+90</f>
        <v>99.5</v>
      </c>
      <c r="H10" s="37">
        <f>GlobalVariables!$B$5</f>
        <v>29.54735891028448</v>
      </c>
    </row>
    <row r="11" spans="1:8" x14ac:dyDescent="0.25">
      <c r="A11" s="34" t="s">
        <v>90</v>
      </c>
      <c r="B11" s="37">
        <f>GlobalVariables!$B$6+90</f>
        <v>95.443295088336043</v>
      </c>
      <c r="C11" s="37">
        <f t="shared" si="0"/>
        <v>95.443295088336043</v>
      </c>
      <c r="D11" s="1">
        <f>'[1]Design Table'!$M10</f>
        <v>1.3324999999999998</v>
      </c>
      <c r="E11" s="1">
        <f>'[1]Design Table'!$I10</f>
        <v>14.458487306541501</v>
      </c>
      <c r="F11" s="1">
        <f>GlobalVariables!$B$1</f>
        <v>0.75</v>
      </c>
      <c r="G11" s="1">
        <f>GlobalVariables!$B$4+90</f>
        <v>99.5</v>
      </c>
      <c r="H11" s="37">
        <f>GlobalVariables!$B$5</f>
        <v>29.54735891028448</v>
      </c>
    </row>
    <row r="12" spans="1:8" x14ac:dyDescent="0.25">
      <c r="A12" s="34" t="s">
        <v>91</v>
      </c>
      <c r="B12" s="37">
        <f>GlobalVariables!$B$6+90</f>
        <v>95.443295088336043</v>
      </c>
      <c r="C12" s="37">
        <f t="shared" si="0"/>
        <v>95.443295088336043</v>
      </c>
      <c r="D12" s="1">
        <f>'[1]Design Table'!$M11</f>
        <v>1.3849999999999998</v>
      </c>
      <c r="E12" s="1">
        <f>'[1]Design Table'!$I11</f>
        <v>15.308593755798478</v>
      </c>
      <c r="F12" s="1">
        <f>GlobalVariables!$B$1</f>
        <v>0.75</v>
      </c>
      <c r="G12" s="1">
        <f>GlobalVariables!$B$4+90</f>
        <v>99.5</v>
      </c>
      <c r="H12" s="37">
        <f>GlobalVariables!$B$5</f>
        <v>29.54735891028448</v>
      </c>
    </row>
    <row r="13" spans="1:8" x14ac:dyDescent="0.25">
      <c r="A13" s="34" t="s">
        <v>92</v>
      </c>
      <c r="B13" s="37">
        <f>GlobalVariables!$B$6+90</f>
        <v>95.443295088336043</v>
      </c>
      <c r="C13" s="37">
        <f t="shared" si="0"/>
        <v>95.443295088336043</v>
      </c>
      <c r="D13" s="1">
        <f>'[1]Design Table'!$M12</f>
        <v>1.4404999999999999</v>
      </c>
      <c r="E13" s="1">
        <f>'[1]Design Table'!$I12</f>
        <v>16.20714808956458</v>
      </c>
      <c r="F13" s="1">
        <f>GlobalVariables!$B$1</f>
        <v>0.75</v>
      </c>
      <c r="G13" s="1">
        <f>GlobalVariables!$B$4+90</f>
        <v>99.5</v>
      </c>
      <c r="H13" s="37">
        <f>GlobalVariables!$B$5</f>
        <v>29.54735891028448</v>
      </c>
    </row>
    <row r="14" spans="1:8" x14ac:dyDescent="0.25">
      <c r="A14" s="34" t="s">
        <v>93</v>
      </c>
      <c r="B14" s="37">
        <f>GlobalVariables!$B$6+90</f>
        <v>95.443295088336043</v>
      </c>
      <c r="C14" s="37">
        <f t="shared" si="0"/>
        <v>95.443295088336043</v>
      </c>
      <c r="D14" s="1">
        <f>'[1]Design Table'!$M13</f>
        <v>1.5634999999999999</v>
      </c>
      <c r="E14" s="1">
        <f>'[1]Design Table'!$I13</f>
        <v>17.185488856320188</v>
      </c>
      <c r="F14" s="1">
        <f>GlobalVariables!$B$1</f>
        <v>0.75</v>
      </c>
      <c r="G14" s="1">
        <f>GlobalVariables!$B$4+90</f>
        <v>99.5</v>
      </c>
      <c r="H14" s="37">
        <f>GlobalVariables!$B$5</f>
        <v>29.54735891028448</v>
      </c>
    </row>
    <row r="15" spans="1:8" x14ac:dyDescent="0.25">
      <c r="A15" s="34" t="s">
        <v>94</v>
      </c>
      <c r="B15" s="37">
        <f>GlobalVariables!$B$6+90</f>
        <v>95.443295088336043</v>
      </c>
      <c r="C15" s="37">
        <f t="shared" si="0"/>
        <v>95.443295088336043</v>
      </c>
      <c r="D15" s="1">
        <f>'[1]Design Table'!$M14</f>
        <v>1.6264999999999998</v>
      </c>
      <c r="E15" s="1">
        <f>'[1]Design Table'!$I14</f>
        <v>18.198219140155043</v>
      </c>
      <c r="F15" s="1">
        <f>GlobalVariables!$B$1</f>
        <v>0.75</v>
      </c>
      <c r="G15" s="1">
        <f>GlobalVariables!$B$4+90</f>
        <v>99.5</v>
      </c>
      <c r="H15" s="37">
        <f>GlobalVariables!$B$5</f>
        <v>29.54735891028448</v>
      </c>
    </row>
    <row r="16" spans="1:8" x14ac:dyDescent="0.25">
      <c r="A16" s="34" t="s">
        <v>95</v>
      </c>
      <c r="B16" s="37">
        <f>GlobalVariables!$B$6+90</f>
        <v>95.443295088336043</v>
      </c>
      <c r="C16" s="37">
        <f t="shared" si="0"/>
        <v>95.443295088336043</v>
      </c>
      <c r="D16" s="1">
        <f>'[1]Design Table'!$M15</f>
        <v>1.6924999999999999</v>
      </c>
      <c r="E16" s="1">
        <f>'[1]Design Table'!$I15</f>
        <v>19.265004101620018</v>
      </c>
      <c r="F16" s="1">
        <f>GlobalVariables!$B$1</f>
        <v>0.75</v>
      </c>
      <c r="G16" s="1">
        <f>GlobalVariables!$B$4+90</f>
        <v>99.5</v>
      </c>
      <c r="H16" s="37">
        <f>GlobalVariables!$B$5</f>
        <v>29.54735891028448</v>
      </c>
    </row>
    <row r="17" spans="1:8" x14ac:dyDescent="0.25">
      <c r="A17" s="34" t="s">
        <v>96</v>
      </c>
      <c r="B17" s="37">
        <f>GlobalVariables!$B$6+90</f>
        <v>95.443295088336043</v>
      </c>
      <c r="C17" s="37">
        <f t="shared" si="0"/>
        <v>95.443295088336043</v>
      </c>
      <c r="D17" s="1">
        <f>'[1]Design Table'!$M16</f>
        <v>1.8264999999999998</v>
      </c>
      <c r="E17" s="1">
        <f>'[1]Design Table'!$I16</f>
        <v>20.42551414703826</v>
      </c>
      <c r="F17" s="1">
        <f>GlobalVariables!$B$1</f>
        <v>0.75</v>
      </c>
      <c r="G17" s="1">
        <f>GlobalVariables!$B$4+90</f>
        <v>99.5</v>
      </c>
      <c r="H17" s="37">
        <f>GlobalVariables!$B$5</f>
        <v>29.54735891028448</v>
      </c>
    </row>
    <row r="18" spans="1:8" x14ac:dyDescent="0.25">
      <c r="A18" s="34" t="s">
        <v>97</v>
      </c>
      <c r="B18" s="37">
        <f>GlobalVariables!$B$6+90</f>
        <v>95.443295088336043</v>
      </c>
      <c r="C18" s="37">
        <f t="shared" si="0"/>
        <v>95.443295088336043</v>
      </c>
      <c r="D18" s="1">
        <f>'[1]Design Table'!$M17</f>
        <v>1.9009999999999998</v>
      </c>
      <c r="E18" s="1">
        <f>'[1]Design Table'!$I17</f>
        <v>21.62634052130327</v>
      </c>
      <c r="F18" s="1">
        <f>GlobalVariables!$B$1</f>
        <v>0.75</v>
      </c>
      <c r="G18" s="1">
        <f>GlobalVariables!$B$4+90</f>
        <v>99.5</v>
      </c>
      <c r="H18" s="37">
        <f>GlobalVariables!$B$5</f>
        <v>29.54735891028448</v>
      </c>
    </row>
    <row r="19" spans="1:8" x14ac:dyDescent="0.25">
      <c r="A19" s="34" t="s">
        <v>98</v>
      </c>
      <c r="B19" s="37">
        <f>GlobalVariables!$B$6+90</f>
        <v>95.443295088336043</v>
      </c>
      <c r="C19" s="37">
        <f t="shared" si="0"/>
        <v>95.443295088336043</v>
      </c>
      <c r="D19" s="1">
        <f>'[1]Design Table'!$M18</f>
        <v>1.9799999999999998</v>
      </c>
      <c r="E19" s="1">
        <f>'[1]Design Table'!$I18</f>
        <v>22.900092682564644</v>
      </c>
      <c r="F19" s="1">
        <f>GlobalVariables!$B$1</f>
        <v>0.75</v>
      </c>
      <c r="G19" s="1">
        <f>GlobalVariables!$B$4+90</f>
        <v>99.5</v>
      </c>
      <c r="H19" s="37">
        <f>GlobalVariables!$B$5</f>
        <v>29.54735891028448</v>
      </c>
    </row>
    <row r="20" spans="1:8" x14ac:dyDescent="0.25">
      <c r="A20" s="34" t="s">
        <v>99</v>
      </c>
      <c r="B20" s="37">
        <f>GlobalVariables!$B$6+90</f>
        <v>95.443295088336043</v>
      </c>
      <c r="C20" s="37">
        <f t="shared" si="0"/>
        <v>95.443295088336043</v>
      </c>
      <c r="D20" s="1">
        <f>'[1]Design Table'!$M19</f>
        <v>2.0629999999999997</v>
      </c>
      <c r="E20" s="1">
        <f>'[1]Design Table'!$I19</f>
        <v>24.246529730381052</v>
      </c>
      <c r="F20" s="1">
        <f>GlobalVariables!$B$1</f>
        <v>0.75</v>
      </c>
      <c r="G20" s="1">
        <f>GlobalVariables!$B$4+90</f>
        <v>99.5</v>
      </c>
      <c r="H20" s="37">
        <f>GlobalVariables!$B$5</f>
        <v>29.54735891028448</v>
      </c>
    </row>
    <row r="21" spans="1:8" x14ac:dyDescent="0.25">
      <c r="A21" s="34" t="s">
        <v>100</v>
      </c>
      <c r="B21" s="37">
        <f>GlobalVariables!$B$6+90</f>
        <v>95.443295088336043</v>
      </c>
      <c r="C21" s="37">
        <f t="shared" si="0"/>
        <v>95.443295088336043</v>
      </c>
      <c r="D21" s="1">
        <f>'[1]Design Table'!$M20</f>
        <v>2.1514999999999995</v>
      </c>
      <c r="E21" s="1">
        <f>'[1]Design Table'!$I20</f>
        <v>25.674650875869396</v>
      </c>
      <c r="F21" s="1">
        <f>GlobalVariables!$B$1</f>
        <v>0.75</v>
      </c>
      <c r="G21" s="1">
        <f>GlobalVariables!$B$4+90</f>
        <v>99.5</v>
      </c>
      <c r="H21" s="37">
        <f>GlobalVariables!$B$5</f>
        <v>29.54735891028448</v>
      </c>
    </row>
    <row r="22" spans="1:8" x14ac:dyDescent="0.25">
      <c r="A22" s="34" t="s">
        <v>101</v>
      </c>
      <c r="B22" s="37">
        <f>GlobalVariables!$B$6+90</f>
        <v>95.443295088336043</v>
      </c>
      <c r="C22" s="37">
        <f t="shared" si="0"/>
        <v>95.443295088336043</v>
      </c>
      <c r="D22" s="1">
        <f>'[1]Design Table'!$M21</f>
        <v>2.3089999999999997</v>
      </c>
      <c r="E22" s="1">
        <f>'[1]Design Table'!$I21</f>
        <v>27.20953795757751</v>
      </c>
      <c r="F22" s="1">
        <f>GlobalVariables!$B$1</f>
        <v>0.75</v>
      </c>
      <c r="G22" s="1">
        <f>GlobalVariables!$B$4+90</f>
        <v>99.5</v>
      </c>
      <c r="H22" s="37">
        <f>GlobalVariables!$B$5</f>
        <v>29.54735891028448</v>
      </c>
    </row>
    <row r="23" spans="1:8" x14ac:dyDescent="0.25">
      <c r="A23" s="34" t="s">
        <v>102</v>
      </c>
      <c r="B23" s="37">
        <f>GlobalVariables!$B$6+90</f>
        <v>95.443295088336043</v>
      </c>
      <c r="C23" s="37">
        <f t="shared" si="0"/>
        <v>95.443295088336043</v>
      </c>
      <c r="D23" s="1">
        <f>'[1]Design Table'!$M22</f>
        <v>2.4084999999999996</v>
      </c>
      <c r="E23" s="1">
        <f>'[1]Design Table'!$I22</f>
        <v>28.819050378452463</v>
      </c>
      <c r="F23" s="1">
        <f>GlobalVariables!$B$1</f>
        <v>0.75</v>
      </c>
      <c r="G23" s="1">
        <f>GlobalVariables!$B$4+90</f>
        <v>99.5</v>
      </c>
      <c r="H23" s="37">
        <f>GlobalVariables!$B$5</f>
        <v>29.54735891028448</v>
      </c>
    </row>
    <row r="24" spans="1:8" x14ac:dyDescent="0.25">
      <c r="A24" s="34" t="s">
        <v>103</v>
      </c>
      <c r="B24" s="37">
        <f>GlobalVariables!$B$6+90</f>
        <v>95.443295088336043</v>
      </c>
      <c r="C24" s="37">
        <f t="shared" si="0"/>
        <v>95.443295088336043</v>
      </c>
      <c r="D24" s="1">
        <f>'[1]Design Table'!$M23</f>
        <v>2.5134999999999996</v>
      </c>
      <c r="E24" s="1">
        <f>'[1]Design Table'!$I23</f>
        <v>30.515797001744499</v>
      </c>
      <c r="F24" s="1">
        <f>GlobalVariables!$B$1</f>
        <v>0.75</v>
      </c>
      <c r="G24" s="1">
        <f>GlobalVariables!$B$4+90</f>
        <v>99.5</v>
      </c>
      <c r="H24" s="37">
        <f>GlobalVariables!$B$5</f>
        <v>29.54735891028448</v>
      </c>
    </row>
    <row r="25" spans="1:8" x14ac:dyDescent="0.25">
      <c r="A25" s="34" t="s">
        <v>104</v>
      </c>
      <c r="B25" s="37">
        <f>GlobalVariables!$B$6+90</f>
        <v>95.443295088336043</v>
      </c>
      <c r="C25" s="37">
        <f t="shared" si="0"/>
        <v>95.443295088336043</v>
      </c>
      <c r="D25" s="1">
        <f>'[1]Design Table'!$M24</f>
        <v>2.6249999999999996</v>
      </c>
      <c r="E25" s="1">
        <f>'[1]Design Table'!$I24</f>
        <v>32.312905669276702</v>
      </c>
      <c r="F25" s="1">
        <f>GlobalVariables!$B$1</f>
        <v>0.75</v>
      </c>
      <c r="G25" s="1">
        <f>GlobalVariables!$B$4+90</f>
        <v>99.5</v>
      </c>
      <c r="H25" s="37">
        <f>GlobalVariables!$B$5</f>
        <v>29.54735891028448</v>
      </c>
    </row>
    <row r="26" spans="1:8" x14ac:dyDescent="0.25">
      <c r="A26" s="34" t="s">
        <v>105</v>
      </c>
      <c r="B26" s="37">
        <f>GlobalVariables!$B$6+90</f>
        <v>95.443295088336043</v>
      </c>
      <c r="C26" s="37">
        <f t="shared" si="0"/>
        <v>95.443295088336043</v>
      </c>
      <c r="D26" s="1">
        <f>'[1]Design Table'!$M25</f>
        <v>2.7429999999999994</v>
      </c>
      <c r="E26" s="1">
        <f>'[1]Design Table'!$I25</f>
        <v>34.218891947861685</v>
      </c>
      <c r="F26" s="1">
        <f>GlobalVariables!$B$1</f>
        <v>0.75</v>
      </c>
      <c r="G26" s="1">
        <f>GlobalVariables!$B$4+90</f>
        <v>99.5</v>
      </c>
      <c r="H26" s="37">
        <f>GlobalVariables!$B$5</f>
        <v>29.54735891028448</v>
      </c>
    </row>
    <row r="27" spans="1:8" x14ac:dyDescent="0.25">
      <c r="A27" s="34" t="s">
        <v>106</v>
      </c>
      <c r="B27" s="37">
        <f>GlobalVariables!$B$6+90</f>
        <v>95.443295088336043</v>
      </c>
      <c r="C27" s="37">
        <f t="shared" si="0"/>
        <v>95.443295088336043</v>
      </c>
      <c r="D27" s="1">
        <f>'[1]Design Table'!$M26</f>
        <v>2.8684999999999996</v>
      </c>
      <c r="E27" s="1">
        <f>'[1]Design Table'!$I26</f>
        <v>36.244352515531389</v>
      </c>
      <c r="F27" s="1">
        <f>GlobalVariables!$B$1</f>
        <v>0.75</v>
      </c>
      <c r="G27" s="1">
        <f>GlobalVariables!$B$4+90</f>
        <v>99.5</v>
      </c>
      <c r="H27" s="37">
        <f>GlobalVariables!$B$5</f>
        <v>29.54735891028448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selection activeCell="C12" sqref="C12"/>
    </sheetView>
  </sheetViews>
  <sheetFormatPr defaultRowHeight="15" x14ac:dyDescent="0.25"/>
  <cols>
    <col min="1" max="1" width="30.5703125" style="35" customWidth="1"/>
    <col min="3" max="3" width="32.5703125" customWidth="1"/>
    <col min="4" max="4" width="22.28515625" customWidth="1"/>
    <col min="5" max="5" width="22.42578125" customWidth="1"/>
    <col min="6" max="6" width="20" customWidth="1"/>
  </cols>
  <sheetData>
    <row r="1" spans="1:8" x14ac:dyDescent="0.25">
      <c r="A1" s="5" t="s">
        <v>40</v>
      </c>
      <c r="B1" s="22">
        <v>0.75</v>
      </c>
      <c r="C1" s="31" t="s">
        <v>41</v>
      </c>
      <c r="D1" s="15">
        <v>9.5000000000000001E-2</v>
      </c>
    </row>
    <row r="2" spans="1:8" x14ac:dyDescent="0.25">
      <c r="A2" s="23" t="s">
        <v>37</v>
      </c>
      <c r="B2" s="14">
        <v>6</v>
      </c>
      <c r="C2" s="31" t="s">
        <v>50</v>
      </c>
      <c r="D2" s="22">
        <f>180/B2</f>
        <v>30</v>
      </c>
    </row>
    <row r="3" spans="1:8" x14ac:dyDescent="0.25">
      <c r="A3" s="23" t="s">
        <v>60</v>
      </c>
      <c r="B3" s="19">
        <v>1.6180000000000001</v>
      </c>
      <c r="C3" s="31" t="s">
        <v>2</v>
      </c>
      <c r="D3" s="16">
        <f>D2*PI()/180</f>
        <v>0.52359877559829882</v>
      </c>
    </row>
    <row r="4" spans="1:8" x14ac:dyDescent="0.25">
      <c r="A4" s="23" t="s">
        <v>58</v>
      </c>
      <c r="B4" s="16">
        <f>DEGREES(ATAN(COS((90-Ashikos!$D$5)*PI()/180)*TAN($D$2*PI()/180)))</f>
        <v>2.3062791964668321</v>
      </c>
      <c r="C4" s="12" t="s">
        <v>49</v>
      </c>
      <c r="D4" s="19">
        <v>2</v>
      </c>
    </row>
    <row r="5" spans="1:8" x14ac:dyDescent="0.25">
      <c r="A5" s="23" t="s">
        <v>57</v>
      </c>
      <c r="B5" s="24">
        <f>DEGREES(ASIN(SIN((90-Ashikos!$D$5)*PI()/180)*SIN($D$2*PI()/180)))</f>
        <v>29.919452093209912</v>
      </c>
      <c r="C5" s="12" t="s">
        <v>48</v>
      </c>
      <c r="D5" s="13">
        <v>12</v>
      </c>
    </row>
    <row r="6" spans="1:8" x14ac:dyDescent="0.25">
      <c r="A6" s="23" t="s">
        <v>45</v>
      </c>
      <c r="B6" s="22">
        <v>0.5</v>
      </c>
    </row>
    <row r="7" spans="1:8" x14ac:dyDescent="0.25">
      <c r="A7" s="23" t="s">
        <v>59</v>
      </c>
      <c r="B7" s="26">
        <v>0.5</v>
      </c>
    </row>
    <row r="8" spans="1:8" x14ac:dyDescent="0.25">
      <c r="A8" s="5" t="s">
        <v>43</v>
      </c>
      <c r="B8" s="2">
        <v>0.5</v>
      </c>
    </row>
    <row r="9" spans="1:8" x14ac:dyDescent="0.25">
      <c r="A9" s="23" t="s">
        <v>38</v>
      </c>
      <c r="B9" s="20">
        <v>0.128</v>
      </c>
    </row>
    <row r="10" spans="1:8" x14ac:dyDescent="0.25">
      <c r="A10" s="23" t="s">
        <v>39</v>
      </c>
      <c r="B10" s="20">
        <v>0.111</v>
      </c>
    </row>
    <row r="11" spans="1:8" x14ac:dyDescent="0.25">
      <c r="A11" s="5" t="s">
        <v>43</v>
      </c>
      <c r="B11" s="2">
        <v>0.5</v>
      </c>
    </row>
    <row r="12" spans="1:8" x14ac:dyDescent="0.25">
      <c r="F12" s="1"/>
      <c r="G12" s="1"/>
    </row>
    <row r="13" spans="1:8" x14ac:dyDescent="0.25">
      <c r="F13" s="1"/>
      <c r="G13" s="1"/>
    </row>
    <row r="14" spans="1:8" x14ac:dyDescent="0.25">
      <c r="G14" s="1"/>
    </row>
    <row r="15" spans="1:8" x14ac:dyDescent="0.25">
      <c r="A15" s="36" t="s">
        <v>37</v>
      </c>
      <c r="C15" s="4" t="s">
        <v>60</v>
      </c>
      <c r="D15" s="4" t="s">
        <v>44</v>
      </c>
      <c r="H15" s="21"/>
    </row>
    <row r="16" spans="1:8" x14ac:dyDescent="0.25">
      <c r="A16" s="35">
        <v>3</v>
      </c>
      <c r="C16" s="34" t="s">
        <v>64</v>
      </c>
      <c r="D16" s="1">
        <v>1</v>
      </c>
    </row>
    <row r="17" spans="1:4" x14ac:dyDescent="0.25">
      <c r="A17" s="35">
        <v>4</v>
      </c>
      <c r="C17" s="34" t="s">
        <v>65</v>
      </c>
      <c r="D17" s="1">
        <v>1.25</v>
      </c>
    </row>
    <row r="18" spans="1:4" x14ac:dyDescent="0.25">
      <c r="A18" s="35">
        <v>5</v>
      </c>
      <c r="C18" s="34" t="s">
        <v>66</v>
      </c>
      <c r="D18" s="1">
        <v>1.5</v>
      </c>
    </row>
    <row r="19" spans="1:4" x14ac:dyDescent="0.25">
      <c r="A19" s="35">
        <v>6</v>
      </c>
      <c r="C19" s="34" t="s">
        <v>67</v>
      </c>
      <c r="D19" s="1">
        <v>1.6180000000000001</v>
      </c>
    </row>
    <row r="20" spans="1:4" x14ac:dyDescent="0.25">
      <c r="A20" s="35">
        <v>7</v>
      </c>
      <c r="C20" s="34" t="s">
        <v>68</v>
      </c>
      <c r="D20" s="1">
        <v>1.75</v>
      </c>
    </row>
    <row r="21" spans="1:4" x14ac:dyDescent="0.25">
      <c r="A21" s="35">
        <v>8</v>
      </c>
      <c r="C21" s="34" t="s">
        <v>69</v>
      </c>
      <c r="D21" s="1">
        <v>1.875</v>
      </c>
    </row>
    <row r="22" spans="1:4" x14ac:dyDescent="0.25">
      <c r="A22" s="35">
        <v>9</v>
      </c>
      <c r="C22" s="34" t="s">
        <v>70</v>
      </c>
      <c r="D22" s="1">
        <v>2</v>
      </c>
    </row>
    <row r="23" spans="1:4" x14ac:dyDescent="0.25">
      <c r="A23" s="35">
        <v>10</v>
      </c>
      <c r="C23" s="34" t="s">
        <v>71</v>
      </c>
      <c r="D23" s="1">
        <v>2.125</v>
      </c>
    </row>
    <row r="24" spans="1:4" x14ac:dyDescent="0.25">
      <c r="A24" s="35">
        <v>11</v>
      </c>
      <c r="C24" s="34" t="s">
        <v>72</v>
      </c>
      <c r="D24" s="1">
        <v>2.25</v>
      </c>
    </row>
    <row r="25" spans="1:4" x14ac:dyDescent="0.25">
      <c r="A25" s="35">
        <v>12</v>
      </c>
      <c r="C25" s="34" t="s">
        <v>73</v>
      </c>
      <c r="D25" s="1"/>
    </row>
    <row r="26" spans="1:4" x14ac:dyDescent="0.25">
      <c r="A26" s="35">
        <v>13</v>
      </c>
      <c r="C26" s="34" t="s">
        <v>74</v>
      </c>
      <c r="D26" s="1"/>
    </row>
    <row r="27" spans="1:4" x14ac:dyDescent="0.25">
      <c r="A27" s="35">
        <v>14</v>
      </c>
      <c r="C27" s="25"/>
    </row>
    <row r="28" spans="1:4" x14ac:dyDescent="0.25">
      <c r="A28" s="35">
        <v>15</v>
      </c>
      <c r="C28" s="25"/>
    </row>
    <row r="29" spans="1:4" x14ac:dyDescent="0.25">
      <c r="A29" s="35">
        <v>16</v>
      </c>
      <c r="C29" s="25"/>
    </row>
    <row r="30" spans="1:4" x14ac:dyDescent="0.25">
      <c r="A30" s="35">
        <v>17</v>
      </c>
      <c r="C30" s="25"/>
    </row>
    <row r="31" spans="1:4" x14ac:dyDescent="0.25">
      <c r="A31" s="35">
        <v>18</v>
      </c>
      <c r="C31" s="25"/>
    </row>
    <row r="32" spans="1:4" x14ac:dyDescent="0.25">
      <c r="A32" s="35">
        <v>19</v>
      </c>
      <c r="C32" s="25"/>
    </row>
    <row r="33" spans="1:3" x14ac:dyDescent="0.25">
      <c r="A33" s="35">
        <v>20</v>
      </c>
      <c r="C33" s="25"/>
    </row>
    <row r="34" spans="1:3" x14ac:dyDescent="0.25">
      <c r="A34" s="35">
        <v>21</v>
      </c>
      <c r="C34" s="25"/>
    </row>
    <row r="35" spans="1:3" x14ac:dyDescent="0.25">
      <c r="A35" s="35">
        <v>22</v>
      </c>
      <c r="C35" s="25"/>
    </row>
    <row r="36" spans="1:3" x14ac:dyDescent="0.25">
      <c r="A36" s="35">
        <v>23</v>
      </c>
      <c r="C36" s="25"/>
    </row>
    <row r="37" spans="1:3" x14ac:dyDescent="0.25">
      <c r="A37" s="35">
        <v>24</v>
      </c>
      <c r="C37" s="25"/>
    </row>
    <row r="38" spans="1:3" x14ac:dyDescent="0.25">
      <c r="A38" s="35">
        <v>25</v>
      </c>
      <c r="C38" s="25"/>
    </row>
    <row r="39" spans="1:3" x14ac:dyDescent="0.25">
      <c r="A39" s="35">
        <v>26</v>
      </c>
      <c r="C39" s="25"/>
    </row>
    <row r="40" spans="1:3" x14ac:dyDescent="0.25">
      <c r="A40" s="35">
        <v>27</v>
      </c>
      <c r="C40" s="25"/>
    </row>
    <row r="41" spans="1:3" x14ac:dyDescent="0.25">
      <c r="A41" s="35">
        <v>28</v>
      </c>
      <c r="C41" s="25"/>
    </row>
    <row r="42" spans="1:3" x14ac:dyDescent="0.25">
      <c r="A42" s="35">
        <v>29</v>
      </c>
      <c r="C42" s="25"/>
    </row>
    <row r="43" spans="1:3" x14ac:dyDescent="0.25">
      <c r="A43" s="35">
        <v>30</v>
      </c>
      <c r="C43" s="25"/>
    </row>
  </sheetData>
  <dataValidations count="4">
    <dataValidation type="whole" allowBlank="1" showInputMessage="1" showErrorMessage="1" sqref="B2">
      <formula1>1</formula1>
      <formula2>60</formula2>
    </dataValidation>
    <dataValidation type="list" allowBlank="1" showInputMessage="1" showErrorMessage="1" sqref="D4">
      <formula1>#REF!</formula1>
    </dataValidation>
    <dataValidation type="list" allowBlank="1" showInputMessage="1" showErrorMessage="1" sqref="B7">
      <formula1>#REF!</formula1>
    </dataValidation>
    <dataValidation type="list" allowBlank="1" showInputMessage="1" showErrorMessage="1" sqref="B3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4"/>
  <sheetViews>
    <sheetView workbookViewId="0">
      <selection activeCell="B4" sqref="B4"/>
    </sheetView>
  </sheetViews>
  <sheetFormatPr defaultColWidth="8.85546875" defaultRowHeight="15" x14ac:dyDescent="0.25"/>
  <cols>
    <col min="1" max="1" width="32.42578125" style="4" customWidth="1"/>
    <col min="2" max="2" width="8.42578125" style="1" bestFit="1" customWidth="1"/>
    <col min="3" max="4" width="6.7109375" style="1" bestFit="1" customWidth="1"/>
    <col min="5" max="5" width="7.42578125" style="1" bestFit="1" customWidth="1"/>
    <col min="6" max="6" width="8" style="1" bestFit="1" customWidth="1"/>
    <col min="7" max="7" width="6.42578125" style="1" bestFit="1" customWidth="1"/>
    <col min="8" max="8" width="7.42578125" style="1" bestFit="1" customWidth="1"/>
    <col min="9" max="9" width="8.85546875" style="1" bestFit="1" customWidth="1"/>
    <col min="10" max="10" width="8" style="1" bestFit="1" customWidth="1"/>
    <col min="11" max="13" width="6.42578125" style="1" bestFit="1" customWidth="1"/>
  </cols>
  <sheetData>
    <row r="1" spans="1:14" x14ac:dyDescent="0.25">
      <c r="A1" s="4" t="s">
        <v>63</v>
      </c>
    </row>
    <row r="2" spans="1:14" x14ac:dyDescent="0.25">
      <c r="A2" s="28">
        <f ca="1">NOW()</f>
        <v>41423.943938425924</v>
      </c>
      <c r="L2" s="29"/>
      <c r="M2" s="29"/>
    </row>
    <row r="3" spans="1:14" x14ac:dyDescent="0.25">
      <c r="A3" s="27" t="s">
        <v>46</v>
      </c>
      <c r="B3" s="18">
        <v>6</v>
      </c>
      <c r="C3" s="18">
        <v>7</v>
      </c>
      <c r="D3" s="18">
        <v>8</v>
      </c>
      <c r="E3" s="18">
        <v>9</v>
      </c>
      <c r="F3" s="18">
        <v>10</v>
      </c>
      <c r="G3" s="18">
        <v>11</v>
      </c>
      <c r="H3" s="18">
        <v>12</v>
      </c>
      <c r="I3" s="18">
        <v>13</v>
      </c>
      <c r="J3" s="18">
        <v>14</v>
      </c>
      <c r="K3" s="18">
        <v>15</v>
      </c>
      <c r="L3" s="18">
        <v>16</v>
      </c>
      <c r="M3" s="18">
        <v>17</v>
      </c>
    </row>
    <row r="4" spans="1:14" x14ac:dyDescent="0.25">
      <c r="A4" s="3" t="s">
        <v>56</v>
      </c>
      <c r="B4" s="2">
        <f>'Ashiko Variables'!$B$3*B3</f>
        <v>9.7080000000000002</v>
      </c>
      <c r="C4" s="2">
        <f>'Ashiko Variables'!$B$3*C3</f>
        <v>11.326000000000001</v>
      </c>
      <c r="D4" s="2">
        <f>'Ashiko Variables'!$B$3*D3</f>
        <v>12.944000000000001</v>
      </c>
      <c r="E4" s="2">
        <f>'Ashiko Variables'!$B$3*E3</f>
        <v>14.562000000000001</v>
      </c>
      <c r="F4" s="2">
        <f>'Ashiko Variables'!$B$3*F3</f>
        <v>16.18</v>
      </c>
      <c r="G4" s="2">
        <f>'Ashiko Variables'!$B$3*G3</f>
        <v>17.798000000000002</v>
      </c>
      <c r="H4" s="2">
        <f>'Ashiko Variables'!$B$3*H3</f>
        <v>19.416</v>
      </c>
      <c r="I4" s="2">
        <f>'Ashiko Variables'!$B$3*I3</f>
        <v>21.034000000000002</v>
      </c>
      <c r="J4" s="2">
        <f>'Ashiko Variables'!$B$3*J3</f>
        <v>22.652000000000001</v>
      </c>
      <c r="K4" s="2">
        <f>'Ashiko Variables'!$B$3*K3</f>
        <v>24.270000000000003</v>
      </c>
      <c r="L4" s="2">
        <f>'Ashiko Variables'!$B$3*L3</f>
        <v>25.888000000000002</v>
      </c>
      <c r="M4" s="2">
        <f>'Ashiko Variables'!$B$3*M3</f>
        <v>27.506</v>
      </c>
    </row>
    <row r="5" spans="1:14" x14ac:dyDescent="0.25">
      <c r="A5" s="3" t="s">
        <v>61</v>
      </c>
      <c r="B5" s="2">
        <f>B3*'Ashiko Variables'!$B$7</f>
        <v>3</v>
      </c>
      <c r="C5" s="2">
        <f>C3*'Ashiko Variables'!$B$7</f>
        <v>3.5</v>
      </c>
      <c r="D5" s="2">
        <f>D3*'Ashiko Variables'!$B$7</f>
        <v>4</v>
      </c>
      <c r="E5" s="2">
        <f>E3*'Ashiko Variables'!$B$7</f>
        <v>4.5</v>
      </c>
      <c r="F5" s="2">
        <f>F3*'Ashiko Variables'!$B$7</f>
        <v>5</v>
      </c>
      <c r="G5" s="2">
        <f>G3*'Ashiko Variables'!$B$7</f>
        <v>5.5</v>
      </c>
      <c r="H5" s="2">
        <f>H3*'Ashiko Variables'!$B$7</f>
        <v>6</v>
      </c>
      <c r="I5" s="2">
        <f>I3*'Ashiko Variables'!$B$7</f>
        <v>6.5</v>
      </c>
      <c r="J5" s="2">
        <f>J3*'Ashiko Variables'!$B$7</f>
        <v>7</v>
      </c>
      <c r="K5" s="2">
        <f>K3*'Ashiko Variables'!$B$7</f>
        <v>7.5</v>
      </c>
      <c r="L5" s="2">
        <f>L3*'Ashiko Variables'!$B$7</f>
        <v>8</v>
      </c>
      <c r="M5" s="2">
        <f>M3*'Ashiko Variables'!$B$7</f>
        <v>8.5</v>
      </c>
    </row>
    <row r="6" spans="1:14" x14ac:dyDescent="0.25">
      <c r="A6" s="17" t="s">
        <v>58</v>
      </c>
      <c r="B6" s="9">
        <f>DEGREES(ATAN(COS((90-'Ashiko Variables'!$D$5)*PI()/180)*TAN('Ashiko Variables'!$D$2*PI()/180)))</f>
        <v>6.8449124301174749</v>
      </c>
      <c r="C6" s="9">
        <f>DEGREES(ATAN(COS((90-'Ashiko Variables'!$D$5)*PI()/180)*TAN('Ashiko Variables'!$D$2*PI()/180)))</f>
        <v>6.8449124301174749</v>
      </c>
      <c r="D6" s="9">
        <f>DEGREES(ATAN(COS((90-'Ashiko Variables'!$D$5)*PI()/180)*TAN('Ashiko Variables'!$D$2*PI()/180)))</f>
        <v>6.8449124301174749</v>
      </c>
      <c r="E6" s="9">
        <f>DEGREES(ATAN(COS((90-'Ashiko Variables'!$D$5)*PI()/180)*TAN('Ashiko Variables'!$D$2*PI()/180)))</f>
        <v>6.8449124301174749</v>
      </c>
      <c r="F6" s="9">
        <f>DEGREES(ATAN(COS((90-'Ashiko Variables'!$D$5)*PI()/180)*TAN('Ashiko Variables'!$D$2*PI()/180)))</f>
        <v>6.8449124301174749</v>
      </c>
      <c r="G6" s="9">
        <f>DEGREES(ATAN(COS((90-'Ashiko Variables'!$D$5)*PI()/180)*TAN('Ashiko Variables'!$D$2*PI()/180)))</f>
        <v>6.8449124301174749</v>
      </c>
      <c r="H6" s="9">
        <f>DEGREES(ATAN(COS((90-'Ashiko Variables'!$D$5)*PI()/180)*TAN('Ashiko Variables'!$D$2*PI()/180)))</f>
        <v>6.8449124301174749</v>
      </c>
      <c r="I6" s="9">
        <f>DEGREES(ATAN(COS((90-'Ashiko Variables'!$D$5)*PI()/180)*TAN('Ashiko Variables'!$D$2*PI()/180)))</f>
        <v>6.8449124301174749</v>
      </c>
      <c r="J6" s="9">
        <f>DEGREES(ATAN(COS((90-'Ashiko Variables'!$D$5)*PI()/180)*TAN('Ashiko Variables'!$D$2*PI()/180)))</f>
        <v>6.8449124301174749</v>
      </c>
      <c r="K6" s="9">
        <f>DEGREES(ATAN(COS((90-'Ashiko Variables'!$D$5)*PI()/180)*TAN('Ashiko Variables'!$D$2*PI()/180)))</f>
        <v>6.8449124301174749</v>
      </c>
      <c r="L6" s="9">
        <f>DEGREES(ATAN(COS((90-'Ashiko Variables'!$D$5)*PI()/180)*TAN('Ashiko Variables'!$D$2*PI()/180)))</f>
        <v>6.8449124301174749</v>
      </c>
      <c r="M6" s="9">
        <f>DEGREES(ATAN(COS((90-'Ashiko Variables'!$D$5)*PI()/180)*TAN('Ashiko Variables'!$D$2*PI()/180)))</f>
        <v>6.8449124301174749</v>
      </c>
    </row>
    <row r="7" spans="1:14" x14ac:dyDescent="0.25">
      <c r="A7" s="17" t="s">
        <v>57</v>
      </c>
      <c r="B7" s="9">
        <f>DEGREES(ASIN(SIN((90-'Ashiko Variables'!$D$5)*PI()/180)*SIN('Ashiko Variables'!$D$2*PI()/180)))</f>
        <v>29.279723324056047</v>
      </c>
      <c r="C7" s="9">
        <f>DEGREES(ASIN(SIN((90-'Ashiko Variables'!$D$5)*PI()/180)*SIN('Ashiko Variables'!$D$2*PI()/180)))</f>
        <v>29.279723324056047</v>
      </c>
      <c r="D7" s="9">
        <f>DEGREES(ASIN(SIN((90-'Ashiko Variables'!$D$5)*PI()/180)*SIN('Ashiko Variables'!$D$2*PI()/180)))</f>
        <v>29.279723324056047</v>
      </c>
      <c r="E7" s="9">
        <f>DEGREES(ASIN(SIN((90-'Ashiko Variables'!$D$5)*PI()/180)*SIN('Ashiko Variables'!$D$2*PI()/180)))</f>
        <v>29.279723324056047</v>
      </c>
      <c r="F7" s="9">
        <f>DEGREES(ASIN(SIN((90-'Ashiko Variables'!$D$5)*PI()/180)*SIN('Ashiko Variables'!$D$2*PI()/180)))</f>
        <v>29.279723324056047</v>
      </c>
      <c r="G7" s="9">
        <f>DEGREES(ASIN(SIN((90-'Ashiko Variables'!$D$5)*PI()/180)*SIN('Ashiko Variables'!$D$2*PI()/180)))</f>
        <v>29.279723324056047</v>
      </c>
      <c r="H7" s="9">
        <f>DEGREES(ASIN(SIN((90-'Ashiko Variables'!$D$5)*PI()/180)*SIN('Ashiko Variables'!$D$2*PI()/180)))</f>
        <v>29.279723324056047</v>
      </c>
      <c r="I7" s="9">
        <f>DEGREES(ASIN(SIN((90-'Ashiko Variables'!$D$5)*PI()/180)*SIN('Ashiko Variables'!$D$2*PI()/180)))</f>
        <v>29.279723324056047</v>
      </c>
      <c r="J7" s="9">
        <f>DEGREES(ASIN(SIN((90-'Ashiko Variables'!$D$5)*PI()/180)*SIN('Ashiko Variables'!$D$2*PI()/180)))</f>
        <v>29.279723324056047</v>
      </c>
      <c r="K7" s="9">
        <f>DEGREES(ASIN(SIN((90-'Ashiko Variables'!$D$5)*PI()/180)*SIN('Ashiko Variables'!$D$2*PI()/180)))</f>
        <v>29.279723324056047</v>
      </c>
      <c r="L7" s="9">
        <f>DEGREES(ASIN(SIN((90-'Ashiko Variables'!$D$5)*PI()/180)*SIN('Ashiko Variables'!$D$2*PI()/180)))</f>
        <v>29.279723324056047</v>
      </c>
      <c r="M7" s="9">
        <f>DEGREES(ASIN(SIN((90-'Ashiko Variables'!$D$5)*PI()/180)*SIN('Ashiko Variables'!$D$2*PI()/180)))</f>
        <v>29.279723324056047</v>
      </c>
    </row>
    <row r="8" spans="1:14" x14ac:dyDescent="0.25">
      <c r="A8" s="17" t="s">
        <v>55</v>
      </c>
      <c r="B8" s="9">
        <f>(B4)/COS('Ashiko Variables'!$B$7*PI()/180)</f>
        <v>9.7083696649687337</v>
      </c>
      <c r="C8" s="9">
        <f>(C4)/COS('Ashiko Variables'!$B$7*PI()/180)</f>
        <v>11.326431275796857</v>
      </c>
      <c r="D8" s="9">
        <f>(D4)/COS('Ashiko Variables'!$B$7*PI()/180)</f>
        <v>12.94449288662498</v>
      </c>
      <c r="E8" s="9">
        <f>(E4)/COS('Ashiko Variables'!$B$7*PI()/180)</f>
        <v>14.562554497453103</v>
      </c>
      <c r="F8" s="9">
        <f>(F4)/COS('Ashiko Variables'!$B$7*PI()/180)</f>
        <v>16.180616108281225</v>
      </c>
      <c r="G8" s="9">
        <f>(G4)/COS('Ashiko Variables'!$B$7*PI()/180)</f>
        <v>17.798677719109349</v>
      </c>
      <c r="H8" s="9">
        <f>(H4)/COS('Ashiko Variables'!$B$7*PI()/180)</f>
        <v>19.416739329937467</v>
      </c>
      <c r="I8" s="9">
        <f>(I4)/COS('Ashiko Variables'!$B$7*PI()/180)</f>
        <v>21.034800940765592</v>
      </c>
      <c r="J8" s="9">
        <f>(J4)/COS('Ashiko Variables'!$B$7*PI()/180)</f>
        <v>22.652862551593714</v>
      </c>
      <c r="K8" s="9">
        <f>(K4)/COS('Ashiko Variables'!$B$7*PI()/180)</f>
        <v>24.270924162421839</v>
      </c>
      <c r="L8" s="9">
        <f>(L4)/COS('Ashiko Variables'!$B$7*PI()/180)</f>
        <v>25.88898577324996</v>
      </c>
      <c r="M8" s="9">
        <f>(M4)/COS('Ashiko Variables'!$B$7*PI()/180)</f>
        <v>27.507047384078081</v>
      </c>
      <c r="N8" t="s">
        <v>47</v>
      </c>
    </row>
    <row r="9" spans="1:14" x14ac:dyDescent="0.25">
      <c r="A9" s="17" t="s">
        <v>3</v>
      </c>
      <c r="B9" s="10">
        <f>CEILING(B8+'Ashiko Variables'!$B$6, 0.125)</f>
        <v>10.25</v>
      </c>
      <c r="C9" s="10">
        <f>CEILING(C8+'Ashiko Variables'!$B$6, 0.125)</f>
        <v>11.875</v>
      </c>
      <c r="D9" s="10">
        <f>CEILING(D8+'Ashiko Variables'!$B$6, 0.125)</f>
        <v>13.5</v>
      </c>
      <c r="E9" s="10">
        <f>CEILING(E8+'Ashiko Variables'!$B$6, 0.125)</f>
        <v>15.125</v>
      </c>
      <c r="F9" s="10">
        <f>CEILING(F8+'Ashiko Variables'!$B$6, 0.125)</f>
        <v>16.75</v>
      </c>
      <c r="G9" s="10">
        <f>CEILING(G8+'Ashiko Variables'!$B$6, 0.125)</f>
        <v>18.375</v>
      </c>
      <c r="H9" s="10">
        <f>CEILING(H8+'Ashiko Variables'!$B$6, 0.125)</f>
        <v>20</v>
      </c>
      <c r="I9" s="10">
        <f>CEILING(I8+'Ashiko Variables'!$B$6, 0.125)</f>
        <v>21.625</v>
      </c>
      <c r="J9" s="10">
        <f>CEILING(J8+'Ashiko Variables'!$B$6, 0.125)</f>
        <v>23.25</v>
      </c>
      <c r="K9" s="10">
        <f>CEILING(K8+'Ashiko Variables'!$B$6, 0.125)</f>
        <v>24.875</v>
      </c>
      <c r="L9" s="10">
        <f>CEILING(L8+'Ashiko Variables'!$B$6, 0.125)</f>
        <v>26.5</v>
      </c>
      <c r="M9" s="10">
        <f>CEILING(M8+'Ashiko Variables'!$B$6, 0.125)</f>
        <v>28.125</v>
      </c>
      <c r="N9" t="s">
        <v>47</v>
      </c>
    </row>
    <row r="10" spans="1:14" x14ac:dyDescent="0.25">
      <c r="A10" s="17" t="s">
        <v>51</v>
      </c>
      <c r="B10" s="9">
        <f>(B3-'Ashiko Variables'!$B$8)*SIN('Ashiko Variables'!$D$3)</f>
        <v>2.7499999999999996</v>
      </c>
      <c r="C10" s="9">
        <f>(C3-'Ashiko Variables'!$B$8)*SIN('Ashiko Variables'!$D$3)</f>
        <v>3.2499999999999996</v>
      </c>
      <c r="D10" s="9">
        <f>(D3-'Ashiko Variables'!$B$8)*SIN('Ashiko Variables'!$D$3)</f>
        <v>3.7499999999999996</v>
      </c>
      <c r="E10" s="9">
        <f>(E3-'Ashiko Variables'!$B$8)*SIN('Ashiko Variables'!$D$3)</f>
        <v>4.2499999999999991</v>
      </c>
      <c r="F10" s="9">
        <f>(F3-'Ashiko Variables'!$B$8)*SIN('Ashiko Variables'!$D$3)</f>
        <v>4.7499999999999991</v>
      </c>
      <c r="G10" s="9">
        <f>(G3-'Ashiko Variables'!$B$8)*SIN('Ashiko Variables'!$D$3)</f>
        <v>5.2499999999999991</v>
      </c>
      <c r="H10" s="9">
        <f>(H3-'Ashiko Variables'!$B$8)*SIN('Ashiko Variables'!$D$3)</f>
        <v>5.7499999999999991</v>
      </c>
      <c r="I10" s="9">
        <f>(I3-'Ashiko Variables'!$B$8)*SIN('Ashiko Variables'!$D$3)</f>
        <v>6.2499999999999991</v>
      </c>
      <c r="J10" s="9">
        <f>(J3-'Ashiko Variables'!$B$8)*SIN('Ashiko Variables'!$D$3)</f>
        <v>6.7499999999999991</v>
      </c>
      <c r="K10" s="9">
        <f>(K3-'Ashiko Variables'!$B$8)*SIN('Ashiko Variables'!$D$3)</f>
        <v>7.2499999999999991</v>
      </c>
      <c r="L10" s="9">
        <f>(L3-'Ashiko Variables'!$B$8)*SIN('Ashiko Variables'!$D$3)</f>
        <v>7.7499999999999991</v>
      </c>
      <c r="M10" s="9">
        <f>(M3-'Ashiko Variables'!$B$8)*SIN('Ashiko Variables'!$D$3)</f>
        <v>8.2499999999999982</v>
      </c>
    </row>
    <row r="11" spans="1:14" x14ac:dyDescent="0.25">
      <c r="A11" s="17" t="s">
        <v>52</v>
      </c>
      <c r="B11" s="9">
        <f>2*(('Ashiko Variables'!$B$1/COS('Ashiko Variables'!$B$7*PI()/180))*TAN('Ashiko Variables'!$D$3)+((B3-'Ashiko Variables'!$B$8)/2)*SIN('Ashiko Variables'!$D$3))</f>
        <v>3.6160583806338216</v>
      </c>
      <c r="C11" s="9">
        <f>2*(('Ashiko Variables'!$B$1/COS('Ashiko Variables'!$B$7*PI()/180))*TAN('Ashiko Variables'!$D$3)+((C3-'Ashiko Variables'!$B$8)/2)*SIN('Ashiko Variables'!$D$3))</f>
        <v>4.1160583806338211</v>
      </c>
      <c r="D11" s="9">
        <f>2*(('Ashiko Variables'!$B$1/COS('Ashiko Variables'!$B$7*PI()/180))*TAN('Ashiko Variables'!$D$3)+((D3-'Ashiko Variables'!$B$8)/2)*SIN('Ashiko Variables'!$D$3))</f>
        <v>4.6160583806338211</v>
      </c>
      <c r="E11" s="9">
        <f>2*(('Ashiko Variables'!$B$1/COS('Ashiko Variables'!$B$7*PI()/180))*TAN('Ashiko Variables'!$D$3)+((E3-'Ashiko Variables'!$B$8)/2)*SIN('Ashiko Variables'!$D$3))</f>
        <v>5.1160583806338211</v>
      </c>
      <c r="F11" s="9">
        <f>2*(('Ashiko Variables'!$B$1/COS('Ashiko Variables'!$B$7*PI()/180))*TAN('Ashiko Variables'!$D$3)+((F3-'Ashiko Variables'!$B$8)/2)*SIN('Ashiko Variables'!$D$3))</f>
        <v>5.6160583806338211</v>
      </c>
      <c r="G11" s="9">
        <f>2*(('Ashiko Variables'!$B$1/COS('Ashiko Variables'!$B$7*PI()/180))*TAN('Ashiko Variables'!$D$3)+((G3-'Ashiko Variables'!$B$8)/2)*SIN('Ashiko Variables'!$D$3))</f>
        <v>6.1160583806338211</v>
      </c>
      <c r="H11" s="9">
        <f>2*(('Ashiko Variables'!$B$1/COS('Ashiko Variables'!$B$7*PI()/180))*TAN('Ashiko Variables'!$D$3)+((H3-'Ashiko Variables'!$B$8)/2)*SIN('Ashiko Variables'!$D$3))</f>
        <v>6.6160583806338211</v>
      </c>
      <c r="I11" s="9">
        <f>2*(('Ashiko Variables'!$B$1/COS('Ashiko Variables'!$B$7*PI()/180))*TAN('Ashiko Variables'!$D$3)+((I3-'Ashiko Variables'!$B$8)/2)*SIN('Ashiko Variables'!$D$3))</f>
        <v>7.1160583806338211</v>
      </c>
      <c r="J11" s="9">
        <f>2*(('Ashiko Variables'!$B$1/COS('Ashiko Variables'!$B$7*PI()/180))*TAN('Ashiko Variables'!$D$3)+((J3-'Ashiko Variables'!$B$8)/2)*SIN('Ashiko Variables'!$D$3))</f>
        <v>7.6160583806338211</v>
      </c>
      <c r="K11" s="9">
        <f>2*(('Ashiko Variables'!$B$1/COS('Ashiko Variables'!$B$7*PI()/180))*TAN('Ashiko Variables'!$D$3)+((K3-'Ashiko Variables'!$B$8)/2)*SIN('Ashiko Variables'!$D$3))</f>
        <v>8.1160583806338202</v>
      </c>
      <c r="L11" s="9">
        <f>2*(('Ashiko Variables'!$B$1/COS('Ashiko Variables'!$B$7*PI()/180))*TAN('Ashiko Variables'!$D$3)+((L3-'Ashiko Variables'!$B$8)/2)*SIN('Ashiko Variables'!$D$3))</f>
        <v>8.6160583806338202</v>
      </c>
      <c r="M11" s="9">
        <f>2*(('Ashiko Variables'!$B$1/COS('Ashiko Variables'!$B$7*PI()/180))*TAN('Ashiko Variables'!$D$3)+((M3-'Ashiko Variables'!$B$8)/2)*SIN('Ashiko Variables'!$D$3))</f>
        <v>9.1160583806338202</v>
      </c>
    </row>
    <row r="12" spans="1:14" x14ac:dyDescent="0.25">
      <c r="A12" s="17" t="s">
        <v>53</v>
      </c>
      <c r="B12" s="9">
        <f>(B5)*SIN('Ashiko Variables'!$D$3)</f>
        <v>1.4999999999999998</v>
      </c>
      <c r="C12" s="9">
        <f>(C5)*SIN('Ashiko Variables'!$D$3)</f>
        <v>1.7499999999999998</v>
      </c>
      <c r="D12" s="9">
        <f>(D5)*SIN('Ashiko Variables'!$D$3)</f>
        <v>1.9999999999999998</v>
      </c>
      <c r="E12" s="9">
        <f>(E5)*SIN('Ashiko Variables'!$D$3)</f>
        <v>2.2499999999999996</v>
      </c>
      <c r="F12" s="9">
        <f>(F5)*SIN('Ashiko Variables'!$D$3)</f>
        <v>2.4999999999999996</v>
      </c>
      <c r="G12" s="9">
        <f>(G5)*SIN('Ashiko Variables'!$D$3)</f>
        <v>2.7499999999999996</v>
      </c>
      <c r="H12" s="9">
        <f>(H5)*SIN('Ashiko Variables'!$D$3)</f>
        <v>2.9999999999999996</v>
      </c>
      <c r="I12" s="9">
        <f>(I5)*SIN('Ashiko Variables'!$D$3)</f>
        <v>3.2499999999999996</v>
      </c>
      <c r="J12" s="9">
        <f>(J5)*SIN('Ashiko Variables'!$D$3)</f>
        <v>3.4999999999999996</v>
      </c>
      <c r="K12" s="9">
        <f>(K5)*SIN('Ashiko Variables'!$D$3)</f>
        <v>3.7499999999999996</v>
      </c>
      <c r="L12" s="9">
        <f>(L5)*SIN('Ashiko Variables'!$D$3)</f>
        <v>3.9999999999999996</v>
      </c>
      <c r="M12" s="9">
        <f>(M5)*SIN('Ashiko Variables'!$D$3)</f>
        <v>4.2499999999999991</v>
      </c>
      <c r="N12" t="s">
        <v>47</v>
      </c>
    </row>
    <row r="13" spans="1:14" x14ac:dyDescent="0.25">
      <c r="A13" s="17" t="s">
        <v>54</v>
      </c>
      <c r="B13" s="9">
        <f>2*(('Ashiko Variables'!$B$1/COS('Ashiko Variables'!$B$7*PI()/180))*TAN('Ashiko Variables'!$D$3)+(B5/2)*SIN('Ashiko Variables'!$D$3))</f>
        <v>2.3660583806338216</v>
      </c>
      <c r="C13" s="9">
        <f>2*(('Ashiko Variables'!$B$1/COS('Ashiko Variables'!$B$7*PI()/180))*TAN('Ashiko Variables'!$D$3)+(C5/2)*SIN('Ashiko Variables'!$D$3))</f>
        <v>2.6160583806338216</v>
      </c>
      <c r="D13" s="9">
        <f>2*(('Ashiko Variables'!$B$1/COS('Ashiko Variables'!$B$7*PI()/180))*TAN('Ashiko Variables'!$D$3)+(D5/2)*SIN('Ashiko Variables'!$D$3))</f>
        <v>2.8660583806338216</v>
      </c>
      <c r="E13" s="9">
        <f>2*(('Ashiko Variables'!$B$1/COS('Ashiko Variables'!$B$7*PI()/180))*TAN('Ashiko Variables'!$D$3)+(E5/2)*SIN('Ashiko Variables'!$D$3))</f>
        <v>3.1160583806338216</v>
      </c>
      <c r="F13" s="9">
        <f>2*(('Ashiko Variables'!$B$1/COS('Ashiko Variables'!$B$7*PI()/180))*TAN('Ashiko Variables'!$D$3)+(F5/2)*SIN('Ashiko Variables'!$D$3))</f>
        <v>3.3660583806338216</v>
      </c>
      <c r="G13" s="9">
        <f>2*(('Ashiko Variables'!$B$1/COS('Ashiko Variables'!$B$7*PI()/180))*TAN('Ashiko Variables'!$D$3)+(G5/2)*SIN('Ashiko Variables'!$D$3))</f>
        <v>3.6160583806338216</v>
      </c>
      <c r="H13" s="9">
        <f>2*(('Ashiko Variables'!$B$1/COS('Ashiko Variables'!$B$7*PI()/180))*TAN('Ashiko Variables'!$D$3)+(H5/2)*SIN('Ashiko Variables'!$D$3))</f>
        <v>3.8660583806338216</v>
      </c>
      <c r="I13" s="9">
        <f>2*(('Ashiko Variables'!$B$1/COS('Ashiko Variables'!$B$7*PI()/180))*TAN('Ashiko Variables'!$D$3)+(I5/2)*SIN('Ashiko Variables'!$D$3))</f>
        <v>4.1160583806338211</v>
      </c>
      <c r="J13" s="9">
        <f>2*(('Ashiko Variables'!$B$1/COS('Ashiko Variables'!$B$7*PI()/180))*TAN('Ashiko Variables'!$D$3)+(J5/2)*SIN('Ashiko Variables'!$D$3))</f>
        <v>4.3660583806338211</v>
      </c>
      <c r="K13" s="9">
        <f>2*(('Ashiko Variables'!$B$1/COS('Ashiko Variables'!$B$7*PI()/180))*TAN('Ashiko Variables'!$D$3)+(K5/2)*SIN('Ashiko Variables'!$D$3))</f>
        <v>4.6160583806338211</v>
      </c>
      <c r="L13" s="9">
        <f>2*(('Ashiko Variables'!$B$1/COS('Ashiko Variables'!$B$7*PI()/180))*TAN('Ashiko Variables'!$D$3)+(L5/2)*SIN('Ashiko Variables'!$D$3))</f>
        <v>4.8660583806338211</v>
      </c>
      <c r="M13" s="9">
        <f>2*(('Ashiko Variables'!$B$1/COS('Ashiko Variables'!$B$7*PI()/180))*TAN('Ashiko Variables'!$D$3)+(M5/2)*SIN('Ashiko Variables'!$D$3))</f>
        <v>5.1160583806338211</v>
      </c>
    </row>
    <row r="14" spans="1:14" x14ac:dyDescent="0.25">
      <c r="A14" s="4" t="s">
        <v>62</v>
      </c>
    </row>
    <row r="15" spans="1:14" x14ac:dyDescent="0.25">
      <c r="A15" s="28">
        <f ca="1">NOW()</f>
        <v>41423.943938425924</v>
      </c>
      <c r="E15" s="11"/>
      <c r="F15" s="6"/>
      <c r="G15" s="11"/>
      <c r="H15" s="7"/>
    </row>
    <row r="16" spans="1:14" x14ac:dyDescent="0.25">
      <c r="A16" s="27" t="s">
        <v>46</v>
      </c>
      <c r="B16" s="18">
        <v>6</v>
      </c>
      <c r="C16" s="18">
        <v>7</v>
      </c>
      <c r="D16" s="18">
        <v>8</v>
      </c>
      <c r="E16" s="18">
        <v>9</v>
      </c>
      <c r="F16" s="18">
        <v>10</v>
      </c>
      <c r="G16" s="18">
        <v>11</v>
      </c>
      <c r="H16" s="18">
        <v>12</v>
      </c>
      <c r="I16" s="18">
        <v>13</v>
      </c>
      <c r="J16" s="18">
        <v>14</v>
      </c>
      <c r="K16" s="18">
        <v>15</v>
      </c>
      <c r="L16" s="18">
        <v>16</v>
      </c>
      <c r="M16" s="18">
        <v>17</v>
      </c>
    </row>
    <row r="17" spans="1:14" x14ac:dyDescent="0.25">
      <c r="A17" s="3" t="s">
        <v>56</v>
      </c>
      <c r="B17" s="2">
        <f>'Ashiko Variables'!$D$4*B16</f>
        <v>12</v>
      </c>
      <c r="C17" s="2">
        <f>'Ashiko Variables'!$D$4*C16</f>
        <v>14</v>
      </c>
      <c r="D17" s="2">
        <f>'Ashiko Variables'!$D$4*D16</f>
        <v>16</v>
      </c>
      <c r="E17" s="2">
        <f>'Ashiko Variables'!$D$4*E16</f>
        <v>18</v>
      </c>
      <c r="F17" s="2">
        <f>'Ashiko Variables'!$D$4*F16</f>
        <v>20</v>
      </c>
      <c r="G17" s="2">
        <f>'Ashiko Variables'!$D$4*G16</f>
        <v>22</v>
      </c>
      <c r="H17" s="2">
        <f>'Ashiko Variables'!$D$4*H16</f>
        <v>24</v>
      </c>
      <c r="I17" s="2">
        <f>'Ashiko Variables'!$D$4*I16</f>
        <v>26</v>
      </c>
      <c r="J17" s="2">
        <f>'Ashiko Variables'!$D$4*J16</f>
        <v>28</v>
      </c>
      <c r="K17" s="2">
        <f>'Ashiko Variables'!$D$4*K16</f>
        <v>30</v>
      </c>
      <c r="L17" s="2">
        <f>'Ashiko Variables'!$D$4*L16</f>
        <v>32</v>
      </c>
      <c r="M17" s="2">
        <f>'Ashiko Variables'!$D$4*M16</f>
        <v>34</v>
      </c>
    </row>
    <row r="18" spans="1:14" x14ac:dyDescent="0.25">
      <c r="A18" s="3" t="s">
        <v>61</v>
      </c>
      <c r="B18" s="2">
        <f>(B16-'Ashiko Variables'!$B$11)-(2*B17*TAN('Ashiko Variables'!$D$5*PI()/180))</f>
        <v>0.39864251991946986</v>
      </c>
      <c r="C18" s="2">
        <f>(C16-'Ashiko Variables'!$B$11)-(2*C17*TAN('Ashiko Variables'!$D$5*PI()/180))</f>
        <v>0.54841627323938091</v>
      </c>
      <c r="D18" s="2">
        <f>(D16-'Ashiko Variables'!$B$11)-(2*D17*TAN('Ashiko Variables'!$D$5*PI()/180))</f>
        <v>0.69819002655929285</v>
      </c>
      <c r="E18" s="2">
        <f>(E16-'Ashiko Variables'!$B$11)-(2*E17*TAN('Ashiko Variables'!$D$5*PI()/180))</f>
        <v>0.84796377987920479</v>
      </c>
      <c r="F18" s="2">
        <f>(F16-'Ashiko Variables'!$B$11)-(2*F17*TAN('Ashiko Variables'!$D$5*PI()/180))</f>
        <v>0.99773753319911584</v>
      </c>
      <c r="G18" s="2">
        <f>(G16-'Ashiko Variables'!$B$11)-(2*G17*TAN('Ashiko Variables'!$D$5*PI()/180))</f>
        <v>1.1475112865190269</v>
      </c>
      <c r="H18" s="2">
        <f>(H16-'Ashiko Variables'!$B$11)-(2*H17*TAN('Ashiko Variables'!$D$5*PI()/180))</f>
        <v>1.2972850398389397</v>
      </c>
      <c r="I18" s="2">
        <f>(I16-'Ashiko Variables'!$B$11)-(2*I17*TAN('Ashiko Variables'!$D$5*PI()/180))</f>
        <v>1.4470587931588508</v>
      </c>
      <c r="J18" s="2">
        <f>(J16-'Ashiko Variables'!$B$11)-(2*J17*TAN('Ashiko Variables'!$D$5*PI()/180))</f>
        <v>1.5968325464787618</v>
      </c>
      <c r="K18" s="2">
        <f>(K16-'Ashiko Variables'!$B$11)-(2*K17*TAN('Ashiko Variables'!$D$5*PI()/180))</f>
        <v>1.7466062997986747</v>
      </c>
      <c r="L18" s="2">
        <f>(L16-'Ashiko Variables'!$B$11)-(2*L17*TAN('Ashiko Variables'!$D$5*PI()/180))</f>
        <v>1.8963800531185857</v>
      </c>
      <c r="M18" s="2">
        <f>(M16-'Ashiko Variables'!$B$11)-(2*M17*TAN('Ashiko Variables'!$D$5*PI()/180))</f>
        <v>2.0461538064384968</v>
      </c>
    </row>
    <row r="19" spans="1:14" x14ac:dyDescent="0.25">
      <c r="A19" s="17" t="s">
        <v>55</v>
      </c>
      <c r="B19" s="9">
        <f>(B17)/COS('Ashiko Variables'!$D$5*PI()/180)</f>
        <v>12.26808713838035</v>
      </c>
      <c r="C19" s="9">
        <f>(C17)/COS('Ashiko Variables'!$D$5*PI()/180)</f>
        <v>14.312768328110408</v>
      </c>
      <c r="D19" s="9">
        <f>(D17)/COS('Ashiko Variables'!$D$5*PI()/180)</f>
        <v>16.357449517840468</v>
      </c>
      <c r="E19" s="9">
        <f>(E17)/COS('Ashiko Variables'!$D$5*PI()/180)</f>
        <v>18.402130707570524</v>
      </c>
      <c r="F19" s="9">
        <f>(F17)/COS('Ashiko Variables'!$D$5*PI()/180)</f>
        <v>20.446811897300584</v>
      </c>
      <c r="G19" s="9">
        <f>(G17)/COS('Ashiko Variables'!$D$5*PI()/180)</f>
        <v>22.491493087030644</v>
      </c>
      <c r="H19" s="9">
        <f>(H17)/COS('Ashiko Variables'!$D$5*PI()/180)</f>
        <v>24.536174276760701</v>
      </c>
      <c r="I19" s="9">
        <f>(I17)/COS('Ashiko Variables'!$D$5*PI()/180)</f>
        <v>26.58085546649076</v>
      </c>
      <c r="J19" s="9">
        <f>(J17)/COS('Ashiko Variables'!$D$5*PI()/180)</f>
        <v>28.625536656220817</v>
      </c>
      <c r="K19" s="9">
        <f>(K17)/COS('Ashiko Variables'!$D$5*PI()/180)</f>
        <v>30.670217845950877</v>
      </c>
      <c r="L19" s="9">
        <f>(L17)/COS('Ashiko Variables'!$D$5*PI()/180)</f>
        <v>32.714899035680936</v>
      </c>
      <c r="M19" s="9">
        <f>(M17)/COS('Ashiko Variables'!$D$5*PI()/180)</f>
        <v>34.759580225410993</v>
      </c>
      <c r="N19" t="s">
        <v>47</v>
      </c>
    </row>
    <row r="20" spans="1:14" x14ac:dyDescent="0.25">
      <c r="A20" s="17" t="s">
        <v>3</v>
      </c>
      <c r="B20" s="10">
        <f>CEILING(B19+'Ashiko Variables'!$B$6, 0.125)</f>
        <v>12.875</v>
      </c>
      <c r="C20" s="10">
        <f>CEILING(C19+'Ashiko Variables'!$B$6, 0.125)</f>
        <v>14.875</v>
      </c>
      <c r="D20" s="10">
        <f>CEILING(D19+'Ashiko Variables'!$B$6, 0.125)</f>
        <v>16.875</v>
      </c>
      <c r="E20" s="10">
        <f>CEILING(E19+'Ashiko Variables'!$B$6, 0.125)</f>
        <v>19</v>
      </c>
      <c r="F20" s="10">
        <f>CEILING(F19+'Ashiko Variables'!$B$6, 0.125)</f>
        <v>21</v>
      </c>
      <c r="G20" s="10">
        <f>CEILING(G19+'Ashiko Variables'!$B$6, 0.125)</f>
        <v>23</v>
      </c>
      <c r="H20" s="10">
        <f>CEILING(H19+'Ashiko Variables'!$B$6, 0.125)</f>
        <v>25.125</v>
      </c>
      <c r="I20" s="10">
        <f>CEILING(I19+'Ashiko Variables'!$B$6, 0.125)</f>
        <v>27.125</v>
      </c>
      <c r="J20" s="10">
        <f>CEILING(J19+'Ashiko Variables'!$B$6, 0.125)</f>
        <v>29.25</v>
      </c>
      <c r="K20" s="10">
        <f>CEILING(K19+'Ashiko Variables'!$B$6, 0.125)</f>
        <v>31.25</v>
      </c>
      <c r="L20" s="10">
        <f>CEILING(L19+'Ashiko Variables'!$B$6, 0.125)</f>
        <v>33.25</v>
      </c>
      <c r="M20" s="10">
        <f>CEILING(M19+'Ashiko Variables'!$B$6, 0.125)</f>
        <v>35.375</v>
      </c>
      <c r="N20" t="s">
        <v>47</v>
      </c>
    </row>
    <row r="21" spans="1:14" x14ac:dyDescent="0.25">
      <c r="A21" s="17" t="s">
        <v>51</v>
      </c>
      <c r="B21" s="9">
        <f>(B16-'Ashiko Variables'!$B$11)*SIN('Ashiko Variables'!$D$3)</f>
        <v>2.7499999999999996</v>
      </c>
      <c r="C21" s="9">
        <f>(C16-'Ashiko Variables'!$B$11)*SIN('Ashiko Variables'!$D$3)</f>
        <v>3.2499999999999996</v>
      </c>
      <c r="D21" s="9">
        <f>(D16-'Ashiko Variables'!$B$11)*SIN('Ashiko Variables'!$D$3)</f>
        <v>3.7499999999999996</v>
      </c>
      <c r="E21" s="9">
        <f>(E16-'Ashiko Variables'!$B$11)*SIN('Ashiko Variables'!$D$3)</f>
        <v>4.2499999999999991</v>
      </c>
      <c r="F21" s="9">
        <f>(F16-'Ashiko Variables'!$B$11)*SIN('Ashiko Variables'!$D$3)</f>
        <v>4.7499999999999991</v>
      </c>
      <c r="G21" s="9">
        <f>(G16-'Ashiko Variables'!$B$11)*SIN('Ashiko Variables'!$D$3)</f>
        <v>5.2499999999999991</v>
      </c>
      <c r="H21" s="9">
        <f>(H16-'Ashiko Variables'!$B$11)*SIN('Ashiko Variables'!$D$3)</f>
        <v>5.7499999999999991</v>
      </c>
      <c r="I21" s="9">
        <f>(I16-'Ashiko Variables'!$B$11)*SIN('Ashiko Variables'!$D$3)</f>
        <v>6.2499999999999991</v>
      </c>
      <c r="J21" s="9">
        <f>(J16-'Ashiko Variables'!$B$11)*SIN('Ashiko Variables'!$D$3)</f>
        <v>6.7499999999999991</v>
      </c>
      <c r="K21" s="9">
        <f>(K16-'Ashiko Variables'!$B$11)*SIN('Ashiko Variables'!$D$3)</f>
        <v>7.2499999999999991</v>
      </c>
      <c r="L21" s="9">
        <f>(L16-'Ashiko Variables'!$B$11)*SIN('Ashiko Variables'!$D$3)</f>
        <v>7.7499999999999991</v>
      </c>
      <c r="M21" s="9">
        <f>(M16-'Ashiko Variables'!$B$11)*SIN('Ashiko Variables'!$D$3)</f>
        <v>8.2499999999999982</v>
      </c>
    </row>
    <row r="22" spans="1:14" x14ac:dyDescent="0.25">
      <c r="A22" s="17" t="s">
        <v>52</v>
      </c>
      <c r="B22" s="9">
        <f>2*(('Ashiko Variables'!$B$1/COS('Ashiko Variables'!$D$5*PI()/180))*TAN('Ashiko Variables'!$D$3)+((B16-'Ashiko Variables'!$B$11)/2)*SIN('Ashiko Variables'!$D$3))</f>
        <v>3.6353729264732095</v>
      </c>
      <c r="C22" s="9">
        <f>2*(('Ashiko Variables'!$B$1/COS('Ashiko Variables'!$D$5*PI()/180))*TAN('Ashiko Variables'!$D$3)+((C16-'Ashiko Variables'!$B$11)/2)*SIN('Ashiko Variables'!$D$3))</f>
        <v>4.1353729264732095</v>
      </c>
      <c r="D22" s="9">
        <f>2*(('Ashiko Variables'!$B$1/COS('Ashiko Variables'!$D$5*PI()/180))*TAN('Ashiko Variables'!$D$3)+((D16-'Ashiko Variables'!$B$11)/2)*SIN('Ashiko Variables'!$D$3))</f>
        <v>4.6353729264732095</v>
      </c>
      <c r="E22" s="9">
        <f>2*(('Ashiko Variables'!$B$1/COS('Ashiko Variables'!$D$5*PI()/180))*TAN('Ashiko Variables'!$D$3)+((E16-'Ashiko Variables'!$B$11)/2)*SIN('Ashiko Variables'!$D$3))</f>
        <v>5.1353729264732095</v>
      </c>
      <c r="F22" s="9">
        <f>2*(('Ashiko Variables'!$B$1/COS('Ashiko Variables'!$D$5*PI()/180))*TAN('Ashiko Variables'!$D$3)+((F16-'Ashiko Variables'!$B$11)/2)*SIN('Ashiko Variables'!$D$3))</f>
        <v>5.6353729264732095</v>
      </c>
      <c r="G22" s="9">
        <f>2*(('Ashiko Variables'!$B$1/COS('Ashiko Variables'!$D$5*PI()/180))*TAN('Ashiko Variables'!$D$3)+((G16-'Ashiko Variables'!$B$11)/2)*SIN('Ashiko Variables'!$D$3))</f>
        <v>6.1353729264732095</v>
      </c>
      <c r="H22" s="9">
        <f>2*(('Ashiko Variables'!$B$1/COS('Ashiko Variables'!$D$5*PI()/180))*TAN('Ashiko Variables'!$D$3)+((H16-'Ashiko Variables'!$B$11)/2)*SIN('Ashiko Variables'!$D$3))</f>
        <v>6.6353729264732095</v>
      </c>
      <c r="I22" s="9">
        <f>2*(('Ashiko Variables'!$B$1/COS('Ashiko Variables'!$D$5*PI()/180))*TAN('Ashiko Variables'!$D$3)+((I16-'Ashiko Variables'!$B$11)/2)*SIN('Ashiko Variables'!$D$3))</f>
        <v>7.1353729264732095</v>
      </c>
      <c r="J22" s="9">
        <f>2*(('Ashiko Variables'!$B$1/COS('Ashiko Variables'!$D$5*PI()/180))*TAN('Ashiko Variables'!$D$3)+((J16-'Ashiko Variables'!$B$11)/2)*SIN('Ashiko Variables'!$D$3))</f>
        <v>7.6353729264732095</v>
      </c>
      <c r="K22" s="9">
        <f>2*(('Ashiko Variables'!$B$1/COS('Ashiko Variables'!$D$5*PI()/180))*TAN('Ashiko Variables'!$D$3)+((K16-'Ashiko Variables'!$B$11)/2)*SIN('Ashiko Variables'!$D$3))</f>
        <v>8.1353729264732095</v>
      </c>
      <c r="L22" s="9">
        <f>2*(('Ashiko Variables'!$B$1/COS('Ashiko Variables'!$D$5*PI()/180))*TAN('Ashiko Variables'!$D$3)+((L16-'Ashiko Variables'!$B$11)/2)*SIN('Ashiko Variables'!$D$3))</f>
        <v>8.6353729264732095</v>
      </c>
      <c r="M22" s="9">
        <f>2*(('Ashiko Variables'!$B$1/COS('Ashiko Variables'!$D$5*PI()/180))*TAN('Ashiko Variables'!$D$3)+((M16-'Ashiko Variables'!$B$11)/2)*SIN('Ashiko Variables'!$D$3))</f>
        <v>9.1353729264732078</v>
      </c>
    </row>
    <row r="23" spans="1:14" x14ac:dyDescent="0.25">
      <c r="A23" s="17" t="s">
        <v>53</v>
      </c>
      <c r="B23" s="9">
        <f>(B18)*SIN('Ashiko Variables'!$D$3)</f>
        <v>0.1993212599597349</v>
      </c>
      <c r="C23" s="9">
        <f>(C18)*SIN('Ashiko Variables'!$D$3)</f>
        <v>0.2742081366196904</v>
      </c>
      <c r="D23" s="9">
        <f>(D18)*SIN('Ashiko Variables'!$D$3)</f>
        <v>0.34909501327964637</v>
      </c>
      <c r="E23" s="9">
        <f>(E18)*SIN('Ashiko Variables'!$D$3)</f>
        <v>0.42398188993960234</v>
      </c>
      <c r="F23" s="9">
        <f>(F18)*SIN('Ashiko Variables'!$D$3)</f>
        <v>0.49886876659955787</v>
      </c>
      <c r="G23" s="9">
        <f>(G18)*SIN('Ashiko Variables'!$D$3)</f>
        <v>0.57375564325951334</v>
      </c>
      <c r="H23" s="9">
        <f>(H18)*SIN('Ashiko Variables'!$D$3)</f>
        <v>0.64864251991946975</v>
      </c>
      <c r="I23" s="9">
        <f>(I18)*SIN('Ashiko Variables'!$D$3)</f>
        <v>0.72352939657942528</v>
      </c>
      <c r="J23" s="9">
        <f>(J18)*SIN('Ashiko Variables'!$D$3)</f>
        <v>0.7984162732393808</v>
      </c>
      <c r="K23" s="9">
        <f>(K18)*SIN('Ashiko Variables'!$D$3)</f>
        <v>0.87330314989933722</v>
      </c>
      <c r="L23" s="9">
        <f>(L18)*SIN('Ashiko Variables'!$D$3)</f>
        <v>0.94819002655929274</v>
      </c>
      <c r="M23" s="9">
        <f>(M18)*SIN('Ashiko Variables'!$D$3)</f>
        <v>1.0230769032192482</v>
      </c>
      <c r="N23" t="s">
        <v>47</v>
      </c>
    </row>
    <row r="24" spans="1:14" x14ac:dyDescent="0.25">
      <c r="A24" s="17" t="s">
        <v>54</v>
      </c>
      <c r="B24" s="9">
        <f>2*(('Ashiko Variables'!$B$1/COS('Ashiko Variables'!$D$5*PI()/180))*TAN('Ashiko Variables'!$D$3)+(B18/2)*SIN('Ashiko Variables'!$D$3))</f>
        <v>1.0846941864329449</v>
      </c>
      <c r="C24" s="9">
        <f>2*(('Ashiko Variables'!$B$1/COS('Ashiko Variables'!$D$5*PI()/180))*TAN('Ashiko Variables'!$D$3)+(C18/2)*SIN('Ashiko Variables'!$D$3))</f>
        <v>1.1595810630929004</v>
      </c>
      <c r="D24" s="9">
        <f>2*(('Ashiko Variables'!$B$1/COS('Ashiko Variables'!$D$5*PI()/180))*TAN('Ashiko Variables'!$D$3)+(D18/2)*SIN('Ashiko Variables'!$D$3))</f>
        <v>1.2344679397528564</v>
      </c>
      <c r="E24" s="9">
        <f>2*(('Ashiko Variables'!$B$1/COS('Ashiko Variables'!$D$5*PI()/180))*TAN('Ashiko Variables'!$D$3)+(E18/2)*SIN('Ashiko Variables'!$D$3))</f>
        <v>1.3093548164128124</v>
      </c>
      <c r="F24" s="9">
        <f>2*(('Ashiko Variables'!$B$1/COS('Ashiko Variables'!$D$5*PI()/180))*TAN('Ashiko Variables'!$D$3)+(F18/2)*SIN('Ashiko Variables'!$D$3))</f>
        <v>1.3842416930727679</v>
      </c>
      <c r="G24" s="9">
        <f>2*(('Ashiko Variables'!$B$1/COS('Ashiko Variables'!$D$5*PI()/180))*TAN('Ashiko Variables'!$D$3)+(G18/2)*SIN('Ashiko Variables'!$D$3))</f>
        <v>1.4591285697327234</v>
      </c>
      <c r="H24" s="9">
        <f>2*(('Ashiko Variables'!$B$1/COS('Ashiko Variables'!$D$5*PI()/180))*TAN('Ashiko Variables'!$D$3)+(H18/2)*SIN('Ashiko Variables'!$D$3))</f>
        <v>1.5340154463926798</v>
      </c>
      <c r="I24" s="9">
        <f>2*(('Ashiko Variables'!$B$1/COS('Ashiko Variables'!$D$5*PI()/180))*TAN('Ashiko Variables'!$D$3)+(I18/2)*SIN('Ashiko Variables'!$D$3))</f>
        <v>1.6089023230526354</v>
      </c>
      <c r="J24" s="9">
        <f>2*(('Ashiko Variables'!$B$1/COS('Ashiko Variables'!$D$5*PI()/180))*TAN('Ashiko Variables'!$D$3)+(J18/2)*SIN('Ashiko Variables'!$D$3))</f>
        <v>1.6837891997125909</v>
      </c>
      <c r="K24" s="9">
        <f>2*(('Ashiko Variables'!$B$1/COS('Ashiko Variables'!$D$5*PI()/180))*TAN('Ashiko Variables'!$D$3)+(K18/2)*SIN('Ashiko Variables'!$D$3))</f>
        <v>1.7586760763725473</v>
      </c>
      <c r="L24" s="9">
        <f>2*(('Ashiko Variables'!$B$1/COS('Ashiko Variables'!$D$5*PI()/180))*TAN('Ashiko Variables'!$D$3)+(L18/2)*SIN('Ashiko Variables'!$D$3))</f>
        <v>1.8335629530325028</v>
      </c>
      <c r="M24" s="9">
        <f>2*(('Ashiko Variables'!$B$1/COS('Ashiko Variables'!$D$5*PI()/180))*TAN('Ashiko Variables'!$D$3)+(M18/2)*SIN('Ashiko Variables'!$D$3))</f>
        <v>1.9084498296924584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/>
  </sheetViews>
  <sheetFormatPr defaultColWidth="8.85546875" defaultRowHeight="15" x14ac:dyDescent="0.25"/>
  <cols>
    <col min="1" max="1" width="33.28515625" bestFit="1" customWidth="1"/>
    <col min="2" max="2" width="21.42578125" bestFit="1" customWidth="1"/>
    <col min="3" max="3" width="18.28515625" bestFit="1" customWidth="1"/>
    <col min="5" max="5" width="11.28515625" bestFit="1" customWidth="1"/>
  </cols>
  <sheetData>
    <row r="1" spans="1:5" x14ac:dyDescent="0.25">
      <c r="A1" s="8" t="s">
        <v>23</v>
      </c>
      <c r="B1" s="8" t="s">
        <v>22</v>
      </c>
      <c r="C1" s="8" t="s">
        <v>24</v>
      </c>
      <c r="D1" s="8" t="s">
        <v>25</v>
      </c>
      <c r="E1" s="8" t="s">
        <v>26</v>
      </c>
    </row>
    <row r="2" spans="1:5" x14ac:dyDescent="0.25">
      <c r="A2" t="s">
        <v>35</v>
      </c>
      <c r="B2" t="s">
        <v>5</v>
      </c>
      <c r="C2" t="s">
        <v>36</v>
      </c>
    </row>
    <row r="3" spans="1:5" x14ac:dyDescent="0.25">
      <c r="A3" t="s">
        <v>4</v>
      </c>
      <c r="B3" t="s">
        <v>27</v>
      </c>
      <c r="D3" t="s">
        <v>28</v>
      </c>
      <c r="E3" t="s">
        <v>29</v>
      </c>
    </row>
    <row r="4" spans="1:5" x14ac:dyDescent="0.25">
      <c r="A4" t="s">
        <v>31</v>
      </c>
      <c r="B4" t="s">
        <v>5</v>
      </c>
      <c r="C4" t="s">
        <v>30</v>
      </c>
      <c r="D4" t="s">
        <v>1</v>
      </c>
      <c r="E4" t="s">
        <v>32</v>
      </c>
    </row>
    <row r="5" spans="1:5" x14ac:dyDescent="0.25">
      <c r="A5" t="s">
        <v>33</v>
      </c>
      <c r="B5" t="s">
        <v>5</v>
      </c>
      <c r="C5" t="s">
        <v>30</v>
      </c>
      <c r="D5" t="s">
        <v>0</v>
      </c>
      <c r="E5" t="s">
        <v>16</v>
      </c>
    </row>
    <row r="6" spans="1:5" x14ac:dyDescent="0.25">
      <c r="A6" t="s">
        <v>12</v>
      </c>
      <c r="B6" t="s">
        <v>5</v>
      </c>
      <c r="C6" t="s">
        <v>34</v>
      </c>
      <c r="D6" t="s">
        <v>1</v>
      </c>
      <c r="E6" t="s">
        <v>19</v>
      </c>
    </row>
    <row r="7" spans="1:5" x14ac:dyDescent="0.25">
      <c r="A7" t="s">
        <v>13</v>
      </c>
      <c r="B7" t="s">
        <v>5</v>
      </c>
    </row>
    <row r="8" spans="1:5" x14ac:dyDescent="0.25">
      <c r="A8" t="s">
        <v>10</v>
      </c>
      <c r="B8" t="s">
        <v>6</v>
      </c>
      <c r="C8" t="s">
        <v>15</v>
      </c>
    </row>
    <row r="9" spans="1:5" x14ac:dyDescent="0.25">
      <c r="A9" t="s">
        <v>9</v>
      </c>
      <c r="B9" t="s">
        <v>6</v>
      </c>
      <c r="C9" t="s">
        <v>15</v>
      </c>
    </row>
    <row r="10" spans="1:5" x14ac:dyDescent="0.25">
      <c r="A10" t="s">
        <v>8</v>
      </c>
      <c r="B10" t="s">
        <v>5</v>
      </c>
    </row>
    <row r="11" spans="1:5" x14ac:dyDescent="0.25">
      <c r="A11" t="s">
        <v>11</v>
      </c>
      <c r="B11" t="s">
        <v>7</v>
      </c>
    </row>
    <row r="12" spans="1:5" x14ac:dyDescent="0.25">
      <c r="A12" t="s">
        <v>14</v>
      </c>
      <c r="B12" t="s">
        <v>5</v>
      </c>
    </row>
    <row r="17" spans="6:6" x14ac:dyDescent="0.25">
      <c r="F17" t="s">
        <v>16</v>
      </c>
    </row>
    <row r="18" spans="6:6" x14ac:dyDescent="0.25">
      <c r="F18" t="s">
        <v>17</v>
      </c>
    </row>
    <row r="19" spans="6:6" x14ac:dyDescent="0.25">
      <c r="F19" t="s">
        <v>19</v>
      </c>
    </row>
    <row r="20" spans="6:6" x14ac:dyDescent="0.25">
      <c r="F20" t="s">
        <v>20</v>
      </c>
    </row>
    <row r="21" spans="6:6" x14ac:dyDescent="0.25">
      <c r="F21" t="s">
        <v>18</v>
      </c>
    </row>
    <row r="22" spans="6:6" x14ac:dyDescent="0.25">
      <c r="F22" t="s">
        <v>21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GlobalVariables</vt:lpstr>
      <vt:lpstr>Design Table</vt:lpstr>
      <vt:lpstr>Ashiko Variables</vt:lpstr>
      <vt:lpstr>Ashikos</vt:lpstr>
      <vt:lpstr>Method</vt:lpstr>
      <vt:lpstr>Family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cp:lastPrinted>2013-04-30T22:38:32Z</cp:lastPrinted>
  <dcterms:created xsi:type="dcterms:W3CDTF">2013-04-20T21:12:38Z</dcterms:created>
  <dcterms:modified xsi:type="dcterms:W3CDTF">2013-05-30T03:39:50Z</dcterms:modified>
</cp:coreProperties>
</file>