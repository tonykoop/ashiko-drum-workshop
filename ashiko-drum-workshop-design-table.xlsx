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57840" windowHeight="31920" tabRatio="600" firstSheet="41" autoFilterDateGrouping="1"/>
  </bookViews>
  <sheets>
    <sheet xmlns:r="http://schemas.openxmlformats.org/officeDocument/2006/relationships" name="Segmented Ashiko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2">
    <numFmt numFmtId="164" formatCode="0.0"/>
    <numFmt numFmtId="165" formatCode="0.000"/>
    <numFmt numFmtId="166" formatCode="#,##0.000"/>
    <numFmt numFmtId="167" formatCode="0.0000"/>
    <numFmt numFmtId="168" formatCode="&quot;$&quot;#,##0.00"/>
    <numFmt numFmtId="169" formatCode="m/d"/>
    <numFmt numFmtId="170" formatCode="m/d/yy"/>
    <numFmt numFmtId="171" formatCode="#\ ##/##"/>
    <numFmt numFmtId="172" formatCode="#\ ###/###"/>
    <numFmt numFmtId="173" formatCode="0.000000"/>
    <numFmt numFmtId="174" formatCode="\+0.000;\-0.000;0.000"/>
    <numFmt numFmtId="175" formatCode="\+0.0%;\-0.0%;0.0%"/>
    <numFmt numFmtId="176" formatCode="\+0.0;\-0.0;&quot;0.0&quot;"/>
    <numFmt numFmtId="177" formatCode="\+0.00;\-0.00;&quot;0.00&quot;"/>
    <numFmt numFmtId="178" formatCode="0.00000"/>
    <numFmt numFmtId="179" formatCode="0.0%"/>
    <numFmt numFmtId="180" formatCode="#,##0.0"/>
    <numFmt numFmtId="181" formatCode="0.0&quot;%&quot;"/>
    <numFmt numFmtId="182" formatCode="0.0&quot;°&quot;"/>
    <numFmt numFmtId="183" formatCode="0.00&quot;°&quot;"/>
    <numFmt numFmtId="184" formatCode="0.000&quot;&quot;"/>
    <numFmt numFmtId="185" formatCode="0.0&quot;&quot;"/>
  </numFmts>
  <fonts count="90">
    <font>
      <name val="Arial"/>
      <color rgb="FF000000"/>
      <sz val="10"/>
    </font>
    <font>
      <name val="Arial"/>
      <b val="1"/>
      <sz val="10"/>
    </font>
    <font>
      <name val="Arial"/>
      <sz val="10"/>
    </font>
    <font>
      <name val="Arial"/>
      <sz val="10"/>
    </font>
    <font>
      <name val="Arial"/>
      <sz val="10"/>
    </font>
    <font>
      <name val="Arial"/>
      <color rgb="FF1155CC"/>
      <sz val="10"/>
      <u val="single"/>
    </font>
    <font>
      <name val="Arial"/>
      <color rgb="FF0000FF"/>
      <sz val="10"/>
      <u val="single"/>
    </font>
    <font>
      <name val="Arial"/>
      <b val="1"/>
      <sz val="10"/>
    </font>
    <font>
      <name val="Inconsolata"/>
      <sz val="10"/>
    </font>
    <font>
      <name val="Arial"/>
      <b val="1"/>
      <color rgb="FFFFFFFF"/>
      <sz val="10"/>
    </font>
    <font>
      <name val="Arial"/>
      <color rgb="FFFFFFFF"/>
      <sz val="10"/>
    </font>
    <font>
      <name val="Arial"/>
      <b val="1"/>
      <color rgb="FF000000"/>
      <sz val="10"/>
    </font>
    <font>
      <name val="Arial"/>
      <b val="1"/>
      <color rgb="FF000000"/>
      <sz val="14"/>
    </font>
    <font>
      <name val="Arial"/>
      <color rgb="FFC0C0C0"/>
      <sz val="10"/>
    </font>
    <font>
      <name val="Arial"/>
      <i val="1"/>
      <color rgb="FFC0C0C0"/>
      <sz val="10"/>
    </font>
    <font>
      <name val="Arial"/>
      <color rgb="FF969696"/>
      <sz val="10"/>
    </font>
    <font>
      <name val="Arial"/>
      <b val="1"/>
      <color rgb="FF969696"/>
      <sz val="10"/>
    </font>
    <font>
      <name val="Arial"/>
      <b val="1"/>
      <color rgb="FF993366"/>
      <sz val="10"/>
    </font>
    <font>
      <name val="Arial"/>
      <color rgb="FF993366"/>
      <sz val="10"/>
    </font>
    <font>
      <name val="Arial"/>
      <color rgb="FF000000"/>
      <sz val="10"/>
    </font>
    <font>
      <name val="Arial"/>
      <color rgb="FF0000FF"/>
      <sz val="10"/>
    </font>
    <font>
      <name val="Arial"/>
      <b val="1"/>
      <color rgb="FF0000FF"/>
      <sz val="10"/>
    </font>
    <font>
      <name val="Arial"/>
      <color rgb="FF666666"/>
      <sz val="10"/>
    </font>
    <font>
      <name val="Arial"/>
      <i val="1"/>
      <color rgb="FF666666"/>
      <sz val="10"/>
    </font>
    <font>
      <name val="Arial"/>
      <b val="1"/>
      <color rgb="FFFFFFFF"/>
      <sz val="12"/>
    </font>
    <font>
      <name val="Arial"/>
      <b val="1"/>
      <color rgb="FF000000"/>
      <sz val="11"/>
    </font>
    <font>
      <name val="Arial"/>
      <i val="1"/>
      <color rgb="FF666666"/>
      <sz val="9"/>
    </font>
    <font>
      <name val="Arial"/>
      <color rgb="FF006400"/>
      <sz val="10"/>
    </font>
    <font>
      <name val="Arial"/>
      <b val="1"/>
      <color rgb="FF006400"/>
      <sz val="10"/>
    </font>
    <font>
      <name val="Arial"/>
      <color rgb="FFCC0000"/>
      <sz val="10"/>
    </font>
    <font>
      <name val="Arial"/>
      <color rgb="FF333333"/>
      <sz val="9"/>
    </font>
    <font>
      <name val="Arial"/>
      <b val="1"/>
      <color rgb="FF1F4E79"/>
      <sz val="14"/>
    </font>
    <font>
      <name val="Arial"/>
      <color rgb="FF1F4E79"/>
      <sz val="10"/>
    </font>
    <font>
      <name val="Arial"/>
      <b val="1"/>
      <color rgb="FF1F4E79"/>
      <sz val="12"/>
    </font>
    <font>
      <name val="Arial"/>
      <b val="1"/>
      <color rgb="FF1F4E79"/>
      <sz val="10"/>
    </font>
    <font>
      <name val="Arial"/>
      <b val="1"/>
      <color rgb="FF000000"/>
      <sz val="12"/>
    </font>
    <font>
      <name val="Arial"/>
      <b val="1"/>
      <i val="1"/>
      <color rgb="FF666666"/>
      <sz val="10"/>
    </font>
    <font>
      <name val="Arial"/>
      <color rgb="FF999999"/>
      <sz val="10"/>
    </font>
    <font>
      <name val="Arial"/>
      <i val="1"/>
      <color rgb="FF999999"/>
      <sz val="9"/>
    </font>
    <font>
      <name val="Arial"/>
      <color rgb="FF2E75B6"/>
      <sz val="10"/>
    </font>
    <font>
      <name val="Arial"/>
      <b val="1"/>
      <color rgb="FF2E75B6"/>
      <sz val="10"/>
    </font>
    <font>
      <name val="Arial"/>
      <color rgb="FF5B9BD5"/>
      <sz val="10"/>
    </font>
    <font>
      <name val="Arial"/>
      <b val="1"/>
      <color rgb="FF5B9BD5"/>
      <sz val="10"/>
    </font>
    <font>
      <name val="Arial"/>
      <color rgb="FF9DC3E6"/>
      <sz val="10"/>
    </font>
    <font>
      <name val="Arial"/>
      <b val="1"/>
      <color rgb="FF9DC3E6"/>
      <sz val="10"/>
    </font>
    <font>
      <name val="Arial"/>
      <b val="1"/>
      <i val="1"/>
      <color rgb="FF1F4E79"/>
      <sz val="9"/>
    </font>
    <font>
      <name val="Arial"/>
      <i val="1"/>
      <color rgb="FF000000"/>
      <sz val="10"/>
    </font>
    <font>
      <name val="Arial"/>
      <color rgb="FF000000"/>
      <sz val="9"/>
    </font>
    <font>
      <name val="Arial"/>
      <b val="1"/>
      <color rgb="FFCC4125"/>
      <sz val="10"/>
    </font>
    <font>
      <name val="Arial"/>
      <b val="1"/>
      <i val="1"/>
      <color rgb="FF999999"/>
      <sz val="9"/>
    </font>
    <font>
      <name val="Arial"/>
      <b val="1"/>
      <color rgb="FF990000"/>
      <sz val="10"/>
    </font>
    <font>
      <name val="Arial"/>
      <b val="1"/>
      <color rgb="FF000000"/>
      <sz val="9"/>
    </font>
    <font>
      <name val="Arial"/>
      <b val="1"/>
      <color rgb="FFCC0000"/>
      <sz val="10"/>
    </font>
    <font>
      <name val="Arial"/>
      <i val="1"/>
      <color rgb="FF999999"/>
      <sz val="10"/>
    </font>
    <font>
      <name val="Arial"/>
      <color rgb="FF0000CC"/>
      <sz val="10"/>
    </font>
    <font>
      <name val="Arial"/>
      <b val="1"/>
      <color rgb="FF0000CC"/>
      <sz val="10"/>
    </font>
    <font>
      <name val="Arial"/>
      <i val="1"/>
      <color rgb="FF0000FF"/>
      <sz val="9"/>
    </font>
    <font>
      <name val="Tahoma"/>
      <charset val="1"/>
      <color indexed="81"/>
      <sz val="9"/>
    </font>
    <font>
      <name val="Tahoma"/>
      <charset val="1"/>
      <b val="1"/>
      <color indexed="81"/>
      <sz val="9"/>
    </font>
    <font>
      <name val="Arial"/>
      <b val="1"/>
      <color rgb="FF999999"/>
      <sz val="9"/>
    </font>
    <font>
      <name val="Arial"/>
      <b val="1"/>
      <color rgb="FFCC0000"/>
      <sz val="9"/>
    </font>
    <font>
      <name val="Arial"/>
      <color rgb="FFCC0000"/>
      <sz val="9"/>
    </font>
    <font>
      <name val="Arial"/>
      <b val="1"/>
      <i val="1"/>
      <color rgb="FF666666"/>
      <sz val="9"/>
    </font>
    <font>
      <name val="Arial"/>
      <b val="1"/>
      <color rgb="FF000000"/>
      <sz val="16"/>
    </font>
    <font>
      <name val="Arial"/>
      <color rgb="FF555555"/>
      <sz val="10"/>
    </font>
    <font>
      <name val="Arial"/>
      <i val="1"/>
      <color rgb="FF555555"/>
      <sz val="10"/>
    </font>
    <font>
      <name val="Arial"/>
      <b val="1"/>
      <color rgb="FFFFFFFF"/>
      <sz val="11"/>
    </font>
    <font>
      <name val="Arial"/>
      <color rgb="FF008000"/>
      <sz val="10"/>
    </font>
    <font>
      <name val="Arial"/>
      <color rgb="FFFF0000"/>
      <sz val="10"/>
    </font>
    <font>
      <name val="Arial"/>
      <b val="1"/>
      <color rgb="FFFF0000"/>
      <sz val="10"/>
    </font>
    <font>
      <name val="Arial"/>
      <b val="1"/>
      <color rgb="FF555555"/>
      <sz val="10"/>
    </font>
    <font>
      <name val="Arial"/>
      <b val="1"/>
      <i val="1"/>
      <color rgb="FF555555"/>
      <sz val="10"/>
    </font>
    <font>
      <name val="Arial"/>
      <i val="1"/>
      <color rgb="FFFF0000"/>
      <sz val="10"/>
    </font>
    <font>
      <name val="Arial"/>
      <color rgb="FFFF8C00"/>
      <sz val="10"/>
    </font>
    <font>
      <name val="Arial"/>
      <i val="1"/>
      <color rgb="FF888888"/>
      <sz val="9"/>
    </font>
    <font>
      <name val="Arial"/>
      <b val="1"/>
      <color rgb="FF333333"/>
      <sz val="10"/>
    </font>
    <font>
      <name val="Arial"/>
      <b val="1"/>
      <color rgb="FF006600"/>
      <sz val="10"/>
    </font>
    <font>
      <name val="Arial"/>
      <b val="1"/>
      <i val="1"/>
      <color rgb="FFFFFFFF"/>
      <sz val="11"/>
    </font>
    <font>
      <name val="Arial"/>
      <i val="1"/>
      <color rgb="FF008000"/>
      <sz val="10"/>
    </font>
    <font>
      <name val="Arial"/>
      <b val="1"/>
      <i val="1"/>
      <color rgb="FF008000"/>
      <sz val="10"/>
    </font>
    <font>
      <name val="Arial"/>
      <i val="1"/>
      <color rgb="FF7030A0"/>
      <sz val="10"/>
    </font>
    <font>
      <name val="Arial"/>
      <i val="1"/>
      <color rgb="FF548235"/>
      <sz val="10"/>
    </font>
    <font>
      <name val="Consolas"/>
      <color rgb="FF000000"/>
      <sz val="9"/>
    </font>
    <font>
      <name val="Consolas"/>
      <i val="1"/>
      <color rgb="FF4472C4"/>
      <sz val="9"/>
    </font>
    <font>
      <name val="Consolas"/>
      <b val="1"/>
      <color rgb="FFFFFFFF"/>
      <sz val="11"/>
    </font>
    <font>
      <name val="Arial"/>
      <b val="1"/>
      <color rgb="FFFFFFFF"/>
      <sz val="14"/>
    </font>
    <font>
      <name val="Arial"/>
      <i val="1"/>
      <color rgb="FF5C2D91"/>
      <sz val="10"/>
    </font>
    <font>
      <name val="Arial"/>
      <b val="1"/>
      <i val="1"/>
      <color rgb="FF5C2D91"/>
      <sz val="10"/>
    </font>
    <font>
      <name val="Arial"/>
      <b val="1"/>
      <i val="1"/>
      <color rgb="FFFFFFFF"/>
      <sz val="14"/>
    </font>
    <font>
      <name val="Arial"/>
      <family val="2"/>
      <color rgb="FF000000"/>
      <sz val="12"/>
    </font>
  </fonts>
  <fills count="90">
    <fill>
      <patternFill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6FA8DC"/>
        <bgColor rgb="FF6FA8DC"/>
      </patternFill>
    </fill>
    <fill>
      <patternFill patternType="solid">
        <fgColor rgb="FFD5A6BD"/>
        <bgColor rgb="FFD5A6BD"/>
      </patternFill>
    </fill>
    <fill>
      <patternFill patternType="solid">
        <fgColor rgb="FF93C47D"/>
        <bgColor rgb="FF93C47D"/>
      </patternFill>
    </fill>
    <fill>
      <patternFill patternType="solid">
        <fgColor rgb="FFC0C0C0"/>
        <bgColor rgb="FFC0C0C0"/>
      </patternFill>
    </fill>
    <fill>
      <patternFill patternType="solid">
        <fgColor rgb="FFFFD966"/>
        <bgColor rgb="FFFFD966"/>
      </patternFill>
    </fill>
    <fill>
      <patternFill patternType="solid">
        <fgColor rgb="FFCC99FF"/>
        <bgColor rgb="FFCC99FF"/>
      </patternFill>
    </fill>
    <fill>
      <patternFill patternType="solid">
        <fgColor rgb="FFF6B26B"/>
        <bgColor rgb="FFF6B26B"/>
      </patternFill>
    </fill>
    <fill>
      <patternFill patternType="solid">
        <fgColor rgb="FFCCFFFF"/>
        <bgColor rgb="FFCCFFFF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rgb="FF999999"/>
        <bgColor rgb="FF999999"/>
      </patternFill>
    </fill>
    <fill>
      <patternFill patternType="solid">
        <fgColor rgb="FF6AA84F"/>
        <bgColor rgb="FF6AA84F"/>
      </patternFill>
    </fill>
    <fill>
      <patternFill patternType="solid">
        <fgColor rgb="FFFCF305"/>
        <bgColor rgb="FFFCF305"/>
      </patternFill>
    </fill>
    <fill>
      <patternFill patternType="solid">
        <fgColor rgb="FFC9DAF8"/>
        <bgColor rgb="FFC9DAF8"/>
      </patternFill>
    </fill>
    <fill>
      <patternFill patternType="solid">
        <fgColor rgb="FFC27BA0"/>
        <bgColor rgb="FFC27BA0"/>
      </patternFill>
    </fill>
    <fill>
      <patternFill patternType="solid">
        <fgColor rgb="FFA64D79"/>
        <bgColor rgb="FFA64D79"/>
      </patternFill>
    </fill>
    <fill>
      <patternFill patternType="solid">
        <fgColor rgb="FF38761D"/>
        <bgColor rgb="FF38761D"/>
      </patternFill>
    </fill>
    <fill>
      <patternFill patternType="solid">
        <fgColor rgb="FF00FF00"/>
        <bgColor rgb="FF00FF00"/>
      </patternFill>
    </fill>
    <fill>
      <patternFill patternType="solid">
        <fgColor rgb="FF4A86E8"/>
        <bgColor rgb="FF4A86E8"/>
      </patternFill>
    </fill>
    <fill>
      <patternFill patternType="solid">
        <fgColor rgb="FFBF9000"/>
        <bgColor rgb="FFBF9000"/>
      </patternFill>
    </fill>
    <fill>
      <patternFill patternType="solid">
        <fgColor rgb="FFFFFF00"/>
        <bgColor rgb="FFFFFF00"/>
      </patternFill>
    </fill>
    <fill>
      <patternFill patternType="solid">
        <fgColor rgb="FF1FB714"/>
        <bgColor rgb="FF1FB714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76A5AF"/>
        <bgColor rgb="FF76A5AF"/>
      </patternFill>
    </fill>
    <fill>
      <patternFill patternType="solid">
        <fgColor rgb="FF6D9EEB"/>
        <bgColor rgb="FF6D9EEB"/>
      </patternFill>
    </fill>
    <fill>
      <patternFill patternType="solid">
        <fgColor rgb="FFCC4125"/>
        <bgColor rgb="FFCC4125"/>
      </patternFill>
    </fill>
    <fill>
      <patternFill patternType="solid">
        <fgColor rgb="FFE06666"/>
        <bgColor rgb="FFE06666"/>
      </patternFill>
    </fill>
    <fill>
      <patternFill patternType="solid">
        <fgColor rgb="FFD9EAD3"/>
        <bgColor rgb="FFD9EAD3"/>
      </patternFill>
    </fill>
    <fill>
      <patternFill patternType="solid">
        <fgColor rgb="FFFFCC99"/>
        <bgColor rgb="FFFFCC99"/>
      </patternFill>
    </fill>
    <fill>
      <patternFill patternType="solid">
        <fgColor rgb="FF000090"/>
        <bgColor rgb="FF000090"/>
      </patternFill>
    </fill>
    <fill>
      <patternFill patternType="solid">
        <fgColor rgb="FF00CCFF"/>
        <bgColor rgb="FF00CCFF"/>
      </patternFill>
    </fill>
    <fill>
      <patternFill patternType="solid">
        <fgColor rgb="FFFFFF99"/>
        <bgColor rgb="FFFFFF99"/>
      </patternFill>
    </fill>
    <fill>
      <patternFill patternType="solid">
        <fgColor rgb="FFDD0806"/>
        <bgColor rgb="FFDD0806"/>
      </patternFill>
    </fill>
    <fill>
      <patternFill patternType="solid">
        <fgColor rgb="FF4600A5"/>
        <bgColor rgb="FF4600A5"/>
      </patternFill>
    </fill>
    <fill>
      <patternFill patternType="solid">
        <fgColor rgb="FF99CCFF"/>
        <bgColor rgb="FF99CCFF"/>
      </patternFill>
    </fill>
    <fill>
      <patternFill patternType="solid">
        <fgColor rgb="FF00ABEA"/>
        <bgColor rgb="FF00ABEA"/>
      </patternFill>
    </fill>
    <fill>
      <patternFill patternType="solid">
        <fgColor rgb="FF0000D4"/>
        <bgColor rgb="FF0000D4"/>
      </patternFill>
    </fill>
    <fill>
      <patternFill patternType="solid">
        <fgColor rgb="FF4A86E8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3C78D8"/>
        <bgColor rgb="FF3C78D8"/>
      </patternFill>
    </fill>
    <fill>
      <patternFill patternType="solid">
        <fgColor rgb="FF1C458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D5A6BD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E8D5E0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D5E8D4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E3F2FD"/>
        <bgColor indexed="64"/>
      </patternFill>
    </fill>
    <fill>
      <patternFill patternType="solid">
        <fgColor rgb="FFE8D5E8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E6B8AF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BF8F00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555555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E2D0F0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E6D8C3"/>
        <bgColor indexed="64"/>
      </patternFill>
    </fill>
    <fill>
      <patternFill patternType="solid">
        <fgColor rgb="FF8B4513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1F3A5F"/>
        <bgColor indexed="64"/>
      </patternFill>
    </fill>
    <fill>
      <patternFill patternType="solid">
        <fgColor rgb="FF5C2D91"/>
        <bgColor indexed="64"/>
      </patternFill>
    </fill>
    <fill>
      <patternFill patternType="solid">
        <fgColor rgb="FFE5D6F2"/>
        <bgColor indexed="64"/>
      </patternFill>
    </fill>
  </fills>
  <borders count="6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/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/>
      <bottom/>
      <diagonal/>
    </border>
    <border>
      <left/>
      <right/>
      <top/>
      <bottom/>
      <diagonal/>
    </border>
    <border>
      <left style="thin">
        <color rgb="FFAAAAAA"/>
      </left>
      <right/>
      <top/>
      <bottom style="thin">
        <color rgb="FFAAAAAA"/>
      </bottom>
      <diagonal/>
    </border>
    <border>
      <left/>
      <right/>
      <top/>
      <bottom style="thin">
        <color rgb="FFAAAAAA"/>
      </bottom>
      <diagonal/>
    </border>
    <border>
      <left/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/>
      <top/>
      <bottom/>
      <diagonal/>
    </border>
    <border>
      <left/>
      <right/>
      <top/>
      <bottom/>
      <diagonal/>
    </border>
    <border>
      <left style="thin">
        <color rgb="FFAAAAAA"/>
      </left>
      <right style="thin">
        <color rgb="FFAAAAAA"/>
      </right>
      <top/>
      <bottom/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/>
      <bottom style="thin">
        <color rgb="FFAAAAAA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rgb="FFAAAAAA"/>
      </right>
      <top/>
      <bottom/>
      <diagonal/>
    </border>
  </borders>
  <cellStyleXfs count="2">
    <xf numFmtId="0" fontId="19" fillId="0" borderId="26"/>
    <xf numFmtId="0" fontId="19" fillId="0" borderId="26"/>
  </cellStyleXfs>
  <cellXfs count="850">
    <xf numFmtId="0" fontId="0" fillId="0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1" fillId="3" borderId="3" pivotButton="0" quotePrefix="0" xfId="0"/>
    <xf numFmtId="0" fontId="1" fillId="4" borderId="4" applyAlignment="1" pivotButton="0" quotePrefix="0" xfId="0">
      <alignment horizontal="left"/>
    </xf>
    <xf numFmtId="0" fontId="1" fillId="5" borderId="4" applyAlignment="1" pivotButton="0" quotePrefix="0" xfId="0">
      <alignment horizontal="left"/>
    </xf>
    <xf numFmtId="0" fontId="1" fillId="6" borderId="4" applyAlignment="1" pivotButton="0" quotePrefix="0" xfId="0">
      <alignment horizontal="left"/>
    </xf>
    <xf numFmtId="0" fontId="1" fillId="7" borderId="4" applyAlignment="1" pivotButton="0" quotePrefix="0" xfId="0">
      <alignment horizontal="left"/>
    </xf>
    <xf numFmtId="0" fontId="1" fillId="8" borderId="4" applyAlignment="1" pivotButton="0" quotePrefix="0" xfId="0">
      <alignment horizontal="left"/>
    </xf>
    <xf numFmtId="0" fontId="1" fillId="9" borderId="4" applyAlignment="1" pivotButton="0" quotePrefix="0" xfId="0">
      <alignment horizontal="left"/>
    </xf>
    <xf numFmtId="0" fontId="1" fillId="10" borderId="4" applyAlignment="1" pivotButton="0" quotePrefix="0" xfId="0">
      <alignment horizontal="left"/>
    </xf>
    <xf numFmtId="0" fontId="1" fillId="11" borderId="4" applyAlignment="1" pivotButton="0" quotePrefix="0" xfId="0">
      <alignment horizontal="left"/>
    </xf>
    <xf numFmtId="0" fontId="1" fillId="11" borderId="5" applyAlignment="1" pivotButton="0" quotePrefix="0" xfId="0">
      <alignment horizontal="left"/>
    </xf>
    <xf numFmtId="0" fontId="1" fillId="3" borderId="0" applyAlignment="1" pivotButton="0" quotePrefix="0" xfId="0">
      <alignment horizontal="left"/>
    </xf>
    <xf numFmtId="0" fontId="2" fillId="2" borderId="2" applyAlignment="1" pivotButton="0" quotePrefix="0" xfId="0">
      <alignment horizontal="center" wrapText="1"/>
    </xf>
    <xf numFmtId="0" fontId="2" fillId="3" borderId="6" pivotButton="0" quotePrefix="0" xfId="0"/>
    <xf numFmtId="0" fontId="3" fillId="3" borderId="0" applyAlignment="1" pivotButton="0" quotePrefix="0" xfId="0">
      <alignment horizontal="center" wrapText="1"/>
    </xf>
    <xf numFmtId="0" fontId="3" fillId="3" borderId="0" applyAlignment="1" pivotButton="0" quotePrefix="0" xfId="0">
      <alignment horizontal="left"/>
    </xf>
    <xf numFmtId="0" fontId="3" fillId="3" borderId="7" applyAlignment="1" pivotButton="0" quotePrefix="0" xfId="0">
      <alignment horizontal="left"/>
    </xf>
    <xf numFmtId="2" fontId="2" fillId="2" borderId="2" pivotButton="0" quotePrefix="0" xfId="0"/>
    <xf numFmtId="164" fontId="2" fillId="3" borderId="6" pivotButton="0" quotePrefix="0" xfId="0"/>
    <xf numFmtId="164" fontId="3" fillId="3" borderId="0" applyAlignment="1" pivotButton="0" quotePrefix="0" xfId="0">
      <alignment horizontal="left"/>
    </xf>
    <xf numFmtId="164" fontId="3" fillId="3" borderId="7" applyAlignment="1" pivotButton="0" quotePrefix="0" xfId="0">
      <alignment horizontal="left"/>
    </xf>
    <xf numFmtId="164" fontId="2" fillId="3" borderId="0" applyAlignment="1" pivotButton="0" quotePrefix="0" xfId="0">
      <alignment horizontal="left"/>
    </xf>
    <xf numFmtId="0" fontId="2" fillId="12" borderId="6" pivotButton="0" quotePrefix="0" xfId="0"/>
    <xf numFmtId="0" fontId="3" fillId="12" borderId="0" applyAlignment="1" pivotButton="0" quotePrefix="0" xfId="0">
      <alignment horizontal="left"/>
    </xf>
    <xf numFmtId="0" fontId="3" fillId="12" borderId="7" applyAlignment="1" pivotButton="0" quotePrefix="0" xfId="0">
      <alignment horizontal="left"/>
    </xf>
    <xf numFmtId="164" fontId="2" fillId="12" borderId="6" pivotButton="0" quotePrefix="0" xfId="0"/>
    <xf numFmtId="164" fontId="3" fillId="12" borderId="0" applyAlignment="1" pivotButton="0" quotePrefix="0" xfId="0">
      <alignment horizontal="left"/>
    </xf>
    <xf numFmtId="164" fontId="3" fillId="12" borderId="7" applyAlignment="1" pivotButton="0" quotePrefix="0" xfId="0">
      <alignment horizontal="left"/>
    </xf>
    <xf numFmtId="0" fontId="2" fillId="13" borderId="6" pivotButton="0" quotePrefix="0" xfId="0"/>
    <xf numFmtId="0" fontId="3" fillId="13" borderId="0" applyAlignment="1" pivotButton="0" quotePrefix="0" xfId="0">
      <alignment horizontal="left"/>
    </xf>
    <xf numFmtId="0" fontId="3" fillId="13" borderId="7" applyAlignment="1" pivotButton="0" quotePrefix="0" xfId="0">
      <alignment horizontal="left"/>
    </xf>
    <xf numFmtId="164" fontId="2" fillId="13" borderId="6" pivotButton="0" quotePrefix="0" xfId="0"/>
    <xf numFmtId="164" fontId="3" fillId="13" borderId="0" applyAlignment="1" pivotButton="0" quotePrefix="0" xfId="0">
      <alignment horizontal="left"/>
    </xf>
    <xf numFmtId="164" fontId="3" fillId="13" borderId="7" applyAlignment="1" pivotButton="0" quotePrefix="0" xfId="0">
      <alignment horizontal="left"/>
    </xf>
    <xf numFmtId="0" fontId="2" fillId="14" borderId="6" pivotButton="0" quotePrefix="0" xfId="0"/>
    <xf numFmtId="0" fontId="3" fillId="14" borderId="0" applyAlignment="1" pivotButton="0" quotePrefix="0" xfId="0">
      <alignment horizontal="left"/>
    </xf>
    <xf numFmtId="0" fontId="3" fillId="14" borderId="7" applyAlignment="1" pivotButton="0" quotePrefix="0" xfId="0">
      <alignment horizontal="left"/>
    </xf>
    <xf numFmtId="164" fontId="2" fillId="14" borderId="6" pivotButton="0" quotePrefix="0" xfId="0"/>
    <xf numFmtId="164" fontId="3" fillId="14" borderId="0" applyAlignment="1" pivotButton="0" quotePrefix="0" xfId="0">
      <alignment horizontal="left"/>
    </xf>
    <xf numFmtId="164" fontId="3" fillId="14" borderId="7" applyAlignment="1" pivotButton="0" quotePrefix="0" xfId="0">
      <alignment horizontal="left"/>
    </xf>
    <xf numFmtId="0" fontId="2" fillId="15" borderId="6" pivotButton="0" quotePrefix="0" xfId="0"/>
    <xf numFmtId="0" fontId="3" fillId="15" borderId="0" applyAlignment="1" pivotButton="0" quotePrefix="0" xfId="0">
      <alignment horizontal="left"/>
    </xf>
    <xf numFmtId="0" fontId="3" fillId="15" borderId="7" applyAlignment="1" pivotButton="0" quotePrefix="0" xfId="0">
      <alignment horizontal="left"/>
    </xf>
    <xf numFmtId="164" fontId="3" fillId="15" borderId="0" applyAlignment="1" pivotButton="0" quotePrefix="0" xfId="0">
      <alignment horizontal="left"/>
    </xf>
    <xf numFmtId="164" fontId="3" fillId="15" borderId="7" applyAlignment="1" pivotButton="0" quotePrefix="0" xfId="0">
      <alignment horizontal="left"/>
    </xf>
    <xf numFmtId="0" fontId="2" fillId="16" borderId="6" pivotButton="0" quotePrefix="0" xfId="0"/>
    <xf numFmtId="0" fontId="3" fillId="16" borderId="0" applyAlignment="1" pivotButton="0" quotePrefix="0" xfId="0">
      <alignment horizontal="left"/>
    </xf>
    <xf numFmtId="0" fontId="3" fillId="16" borderId="7" applyAlignment="1" pivotButton="0" quotePrefix="0" xfId="0">
      <alignment horizontal="left"/>
    </xf>
    <xf numFmtId="164" fontId="2" fillId="16" borderId="6" pivotButton="0" quotePrefix="0" xfId="0"/>
    <xf numFmtId="164" fontId="3" fillId="16" borderId="0" applyAlignment="1" pivotButton="0" quotePrefix="0" xfId="0">
      <alignment horizontal="left"/>
    </xf>
    <xf numFmtId="164" fontId="3" fillId="16" borderId="7" applyAlignment="1" pivotButton="0" quotePrefix="0" xfId="0">
      <alignment horizontal="left"/>
    </xf>
    <xf numFmtId="0" fontId="2" fillId="17" borderId="6" pivotButton="0" quotePrefix="0" xfId="0"/>
    <xf numFmtId="0" fontId="3" fillId="17" borderId="0" applyAlignment="1" pivotButton="0" quotePrefix="0" xfId="0">
      <alignment horizontal="left"/>
    </xf>
    <xf numFmtId="0" fontId="3" fillId="17" borderId="7" applyAlignment="1" pivotButton="0" quotePrefix="0" xfId="0">
      <alignment horizontal="left"/>
    </xf>
    <xf numFmtId="0" fontId="2" fillId="2" borderId="2" pivotButton="0" quotePrefix="0" xfId="0"/>
    <xf numFmtId="164" fontId="2" fillId="17" borderId="11" pivotButton="0" quotePrefix="0" xfId="0"/>
    <xf numFmtId="164" fontId="3" fillId="17" borderId="12" applyAlignment="1" pivotButton="0" quotePrefix="0" xfId="0">
      <alignment horizontal="left"/>
    </xf>
    <xf numFmtId="164" fontId="3" fillId="17" borderId="13" applyAlignment="1" pivotButton="0" quotePrefix="0" xfId="0">
      <alignment horizontal="left"/>
    </xf>
    <xf numFmtId="164" fontId="2" fillId="3" borderId="0" applyAlignment="1" pivotButton="0" quotePrefix="0" xfId="0">
      <alignment horizontal="left" wrapText="1"/>
    </xf>
    <xf numFmtId="164" fontId="2" fillId="3" borderId="0" applyAlignment="1" pivotButton="0" quotePrefix="0" xfId="0">
      <alignment horizontal="center" vertical="center" wrapText="1"/>
    </xf>
    <xf numFmtId="0" fontId="2" fillId="3" borderId="0" pivotButton="0" quotePrefix="0" xfId="0"/>
    <xf numFmtId="164" fontId="2" fillId="3" borderId="0" pivotButton="0" quotePrefix="0" xfId="0"/>
    <xf numFmtId="2" fontId="2" fillId="9" borderId="1" pivotButton="0" quotePrefix="0" xfId="0"/>
    <xf numFmtId="2" fontId="2" fillId="18" borderId="1" pivotButton="0" quotePrefix="0" xfId="0"/>
    <xf numFmtId="2" fontId="2" fillId="4" borderId="1" applyAlignment="1" pivotButton="0" quotePrefix="0" xfId="0">
      <alignment horizontal="left"/>
    </xf>
    <xf numFmtId="2" fontId="2" fillId="5" borderId="1" applyAlignment="1" pivotButton="0" quotePrefix="0" xfId="0">
      <alignment horizontal="left"/>
    </xf>
    <xf numFmtId="2" fontId="2" fillId="6" borderId="1" applyAlignment="1" pivotButton="0" quotePrefix="0" xfId="0">
      <alignment horizontal="left"/>
    </xf>
    <xf numFmtId="2" fontId="2" fillId="7" borderId="1" applyAlignment="1" pivotButton="0" quotePrefix="0" xfId="0">
      <alignment horizontal="left"/>
    </xf>
    <xf numFmtId="2" fontId="2" fillId="8" borderId="1" applyAlignment="1" pivotButton="0" quotePrefix="0" xfId="0">
      <alignment horizontal="left"/>
    </xf>
    <xf numFmtId="2" fontId="2" fillId="9" borderId="1" applyAlignment="1" pivotButton="0" quotePrefix="0" xfId="0">
      <alignment horizontal="left"/>
    </xf>
    <xf numFmtId="2" fontId="2" fillId="10" borderId="1" applyAlignment="1" pivotButton="0" quotePrefix="0" xfId="0">
      <alignment horizontal="left"/>
    </xf>
    <xf numFmtId="2" fontId="2" fillId="11" borderId="1" applyAlignment="1" pivotButton="0" quotePrefix="0" xfId="0">
      <alignment horizontal="left"/>
    </xf>
    <xf numFmtId="2" fontId="2" fillId="3" borderId="0" applyAlignment="1" pivotButton="0" quotePrefix="0" xfId="0">
      <alignment horizontal="left"/>
    </xf>
    <xf numFmtId="49" fontId="2" fillId="4" borderId="1" applyAlignment="1" pivotButton="0" quotePrefix="0" xfId="0">
      <alignment horizontal="left"/>
    </xf>
    <xf numFmtId="49" fontId="2" fillId="5" borderId="1" applyAlignment="1" pivotButton="0" quotePrefix="0" xfId="0">
      <alignment horizontal="left"/>
    </xf>
    <xf numFmtId="49" fontId="2" fillId="6" borderId="1" applyAlignment="1" pivotButton="0" quotePrefix="0" xfId="0">
      <alignment horizontal="left"/>
    </xf>
    <xf numFmtId="49" fontId="2" fillId="7" borderId="1" applyAlignment="1" pivotButton="0" quotePrefix="0" xfId="0">
      <alignment horizontal="left"/>
    </xf>
    <xf numFmtId="49" fontId="2" fillId="8" borderId="1" applyAlignment="1" pivotButton="0" quotePrefix="0" xfId="0">
      <alignment horizontal="left"/>
    </xf>
    <xf numFmtId="49" fontId="2" fillId="9" borderId="1" applyAlignment="1" pivotButton="0" quotePrefix="0" xfId="0">
      <alignment horizontal="left"/>
    </xf>
    <xf numFmtId="49" fontId="2" fillId="10" borderId="1" applyAlignment="1" pivotButton="0" quotePrefix="0" xfId="0">
      <alignment horizontal="left"/>
    </xf>
    <xf numFmtId="49" fontId="2" fillId="11" borderId="1" applyAlignment="1" pivotButton="0" quotePrefix="0" xfId="0">
      <alignment horizontal="left"/>
    </xf>
    <xf numFmtId="165" fontId="2" fillId="5" borderId="1" applyAlignment="1" pivotButton="0" quotePrefix="0" xfId="0">
      <alignment horizontal="left"/>
    </xf>
    <xf numFmtId="165" fontId="2" fillId="7" borderId="1" applyAlignment="1" pivotButton="0" quotePrefix="0" xfId="0">
      <alignment horizontal="left"/>
    </xf>
    <xf numFmtId="165" fontId="2" fillId="8" borderId="1" applyAlignment="1" pivotButton="0" quotePrefix="0" xfId="0">
      <alignment horizontal="left"/>
    </xf>
    <xf numFmtId="165" fontId="2" fillId="9" borderId="1" applyAlignment="1" pivotButton="0" quotePrefix="0" xfId="0">
      <alignment horizontal="left"/>
    </xf>
    <xf numFmtId="165" fontId="2" fillId="10" borderId="1" applyAlignment="1" pivotButton="0" quotePrefix="0" xfId="0">
      <alignment horizontal="left"/>
    </xf>
    <xf numFmtId="165" fontId="2" fillId="11" borderId="1" applyAlignment="1" pivotButton="0" quotePrefix="0" xfId="0">
      <alignment horizontal="left"/>
    </xf>
    <xf numFmtId="165" fontId="2" fillId="6" borderId="1" applyAlignment="1" pivotButton="0" quotePrefix="0" xfId="0">
      <alignment horizontal="left"/>
    </xf>
    <xf numFmtId="0" fontId="2" fillId="9" borderId="1" pivotButton="0" quotePrefix="0" xfId="0"/>
    <xf numFmtId="0" fontId="2" fillId="18" borderId="1" pivotButton="0" quotePrefix="0" xfId="0"/>
    <xf numFmtId="0" fontId="2" fillId="19" borderId="1" pivotButton="0" quotePrefix="0" xfId="0"/>
    <xf numFmtId="166" fontId="2" fillId="4" borderId="1" applyAlignment="1" pivotButton="0" quotePrefix="0" xfId="0">
      <alignment horizontal="left"/>
    </xf>
    <xf numFmtId="166" fontId="2" fillId="5" borderId="1" applyAlignment="1" pivotButton="0" quotePrefix="0" xfId="0">
      <alignment horizontal="left"/>
    </xf>
    <xf numFmtId="166" fontId="2" fillId="6" borderId="1" applyAlignment="1" pivotButton="0" quotePrefix="0" xfId="0">
      <alignment horizontal="left"/>
    </xf>
    <xf numFmtId="166" fontId="2" fillId="7" borderId="1" applyAlignment="1" pivotButton="0" quotePrefix="0" xfId="0">
      <alignment horizontal="left"/>
    </xf>
    <xf numFmtId="166" fontId="2" fillId="8" borderId="1" applyAlignment="1" pivotButton="0" quotePrefix="0" xfId="0">
      <alignment horizontal="left"/>
    </xf>
    <xf numFmtId="166" fontId="2" fillId="9" borderId="1" applyAlignment="1" pivotButton="0" quotePrefix="0" xfId="0">
      <alignment horizontal="left"/>
    </xf>
    <xf numFmtId="166" fontId="2" fillId="10" borderId="1" applyAlignment="1" pivotButton="0" quotePrefix="0" xfId="0">
      <alignment horizontal="left"/>
    </xf>
    <xf numFmtId="166" fontId="2" fillId="11" borderId="1" applyAlignment="1" pivotButton="0" quotePrefix="0" xfId="0">
      <alignment horizontal="left"/>
    </xf>
    <xf numFmtId="0" fontId="2" fillId="9" borderId="0" pivotButton="0" quotePrefix="0" xfId="0"/>
    <xf numFmtId="0" fontId="2" fillId="20" borderId="1" pivotButton="0" quotePrefix="0" xfId="0"/>
    <xf numFmtId="165" fontId="2" fillId="4" borderId="1" applyAlignment="1" pivotButton="0" quotePrefix="0" xfId="0">
      <alignment horizontal="left"/>
    </xf>
    <xf numFmtId="165" fontId="2" fillId="9" borderId="1" pivotButton="0" quotePrefix="0" xfId="0"/>
    <xf numFmtId="165" fontId="2" fillId="20" borderId="1" pivotButton="0" quotePrefix="0" xfId="0"/>
    <xf numFmtId="165" fontId="2" fillId="3" borderId="0" applyAlignment="1" pivotButton="0" quotePrefix="0" xfId="0">
      <alignment horizontal="left"/>
    </xf>
    <xf numFmtId="0" fontId="2" fillId="4" borderId="1" applyAlignment="1" pivotButton="0" quotePrefix="0" xfId="0">
      <alignment horizontal="left"/>
    </xf>
    <xf numFmtId="0" fontId="2" fillId="5" borderId="1" applyAlignment="1" pivotButton="0" quotePrefix="0" xfId="0">
      <alignment horizontal="left"/>
    </xf>
    <xf numFmtId="0" fontId="2" fillId="6" borderId="1" applyAlignment="1" pivotButton="0" quotePrefix="0" xfId="0">
      <alignment horizontal="left"/>
    </xf>
    <xf numFmtId="0" fontId="2" fillId="7" borderId="1" applyAlignment="1" pivotButton="0" quotePrefix="0" xfId="0">
      <alignment horizontal="left"/>
    </xf>
    <xf numFmtId="0" fontId="2" fillId="8" borderId="1" applyAlignment="1" pivotButton="0" quotePrefix="0" xfId="0">
      <alignment horizontal="left"/>
    </xf>
    <xf numFmtId="0" fontId="2" fillId="9" borderId="1" applyAlignment="1" pivotButton="0" quotePrefix="0" xfId="0">
      <alignment horizontal="left"/>
    </xf>
    <xf numFmtId="0" fontId="2" fillId="10" borderId="1" applyAlignment="1" pivotButton="0" quotePrefix="0" xfId="0">
      <alignment horizontal="left"/>
    </xf>
    <xf numFmtId="0" fontId="2" fillId="11" borderId="1" applyAlignment="1" pivotButton="0" quotePrefix="0" xfId="0">
      <alignment horizontal="left"/>
    </xf>
    <xf numFmtId="165" fontId="2" fillId="5" borderId="1" pivotButton="0" quotePrefix="0" xfId="0"/>
    <xf numFmtId="165" fontId="3" fillId="4" borderId="1" applyAlignment="1" pivotButton="0" quotePrefix="0" xfId="0">
      <alignment horizontal="left"/>
    </xf>
    <xf numFmtId="165" fontId="3" fillId="5" borderId="1" applyAlignment="1" pivotButton="0" quotePrefix="0" xfId="0">
      <alignment horizontal="left"/>
    </xf>
    <xf numFmtId="165" fontId="3" fillId="6" borderId="1" applyAlignment="1" pivotButton="0" quotePrefix="0" xfId="0">
      <alignment horizontal="left"/>
    </xf>
    <xf numFmtId="165" fontId="3" fillId="7" borderId="1" applyAlignment="1" pivotButton="0" quotePrefix="0" xfId="0">
      <alignment horizontal="left"/>
    </xf>
    <xf numFmtId="165" fontId="3" fillId="8" borderId="1" applyAlignment="1" pivotButton="0" quotePrefix="0" xfId="0">
      <alignment horizontal="left"/>
    </xf>
    <xf numFmtId="165" fontId="3" fillId="9" borderId="1" applyAlignment="1" pivotButton="0" quotePrefix="0" xfId="0">
      <alignment horizontal="left"/>
    </xf>
    <xf numFmtId="165" fontId="3" fillId="10" borderId="1" applyAlignment="1" pivotButton="0" quotePrefix="0" xfId="0">
      <alignment horizontal="left"/>
    </xf>
    <xf numFmtId="165" fontId="3" fillId="11" borderId="1" applyAlignment="1" pivotButton="0" quotePrefix="0" xfId="0">
      <alignment horizontal="left"/>
    </xf>
    <xf numFmtId="165" fontId="2" fillId="21" borderId="1" pivotButton="0" quotePrefix="0" xfId="0"/>
    <xf numFmtId="165" fontId="2" fillId="22" borderId="1" pivotButton="0" quotePrefix="0" xfId="0"/>
    <xf numFmtId="165" fontId="2" fillId="6" borderId="1" pivotButton="0" quotePrefix="0" xfId="0"/>
    <xf numFmtId="165" fontId="2" fillId="18" borderId="1" pivotButton="0" quotePrefix="0" xfId="0"/>
    <xf numFmtId="165" fontId="2" fillId="23" borderId="1" pivotButton="0" quotePrefix="0" xfId="0"/>
    <xf numFmtId="0" fontId="2" fillId="3" borderId="0" applyAlignment="1" pivotButton="0" quotePrefix="0" xfId="0">
      <alignment vertical="center" wrapText="1"/>
    </xf>
    <xf numFmtId="2" fontId="2" fillId="3" borderId="0" pivotButton="0" quotePrefix="0" xfId="0"/>
    <xf numFmtId="2" fontId="2" fillId="2" borderId="1" pivotButton="0" quotePrefix="0" xfId="0"/>
    <xf numFmtId="2" fontId="2" fillId="24" borderId="1" pivotButton="0" quotePrefix="0" xfId="0"/>
    <xf numFmtId="0" fontId="2" fillId="2" borderId="1" pivotButton="0" quotePrefix="0" xfId="0"/>
    <xf numFmtId="0" fontId="2" fillId="24" borderId="1" pivotButton="0" quotePrefix="0" xfId="0"/>
    <xf numFmtId="165" fontId="2" fillId="2" borderId="1" pivotButton="0" quotePrefix="0" xfId="0"/>
    <xf numFmtId="165" fontId="2" fillId="25" borderId="1" pivotButton="0" quotePrefix="0" xfId="0"/>
    <xf numFmtId="2" fontId="2" fillId="5" borderId="1" pivotButton="0" quotePrefix="0" xfId="0"/>
    <xf numFmtId="2" fontId="2" fillId="21" borderId="1" pivotButton="0" quotePrefix="0" xfId="0"/>
    <xf numFmtId="2" fontId="2" fillId="22" borderId="1" pivotButton="0" quotePrefix="0" xfId="0"/>
    <xf numFmtId="2" fontId="2" fillId="6" borderId="1" pivotButton="0" quotePrefix="0" xfId="0"/>
    <xf numFmtId="2" fontId="2" fillId="23" borderId="1" pivotButton="0" quotePrefix="0" xfId="0"/>
    <xf numFmtId="0" fontId="4" fillId="2" borderId="1" pivotButton="0" quotePrefix="0" xfId="0"/>
    <xf numFmtId="0" fontId="4" fillId="26" borderId="1" pivotButton="0" quotePrefix="0" xfId="0"/>
    <xf numFmtId="2" fontId="4" fillId="4" borderId="1" applyAlignment="1" pivotButton="0" quotePrefix="0" xfId="0">
      <alignment horizontal="left"/>
    </xf>
    <xf numFmtId="2" fontId="4" fillId="5" borderId="1" applyAlignment="1" pivotButton="0" quotePrefix="0" xfId="0">
      <alignment horizontal="left"/>
    </xf>
    <xf numFmtId="2" fontId="4" fillId="6" borderId="1" applyAlignment="1" pivotButton="0" quotePrefix="0" xfId="0">
      <alignment horizontal="left"/>
    </xf>
    <xf numFmtId="2" fontId="4" fillId="7" borderId="1" applyAlignment="1" pivotButton="0" quotePrefix="0" xfId="0">
      <alignment horizontal="left"/>
    </xf>
    <xf numFmtId="2" fontId="4" fillId="8" borderId="1" applyAlignment="1" pivotButton="0" quotePrefix="0" xfId="0">
      <alignment horizontal="left"/>
    </xf>
    <xf numFmtId="2" fontId="4" fillId="9" borderId="1" applyAlignment="1" pivotButton="0" quotePrefix="0" xfId="0">
      <alignment horizontal="left"/>
    </xf>
    <xf numFmtId="2" fontId="4" fillId="10" borderId="1" applyAlignment="1" pivotButton="0" quotePrefix="0" xfId="0">
      <alignment horizontal="left"/>
    </xf>
    <xf numFmtId="2" fontId="4" fillId="11" borderId="1" applyAlignment="1" pivotButton="0" quotePrefix="0" xfId="0">
      <alignment horizontal="left"/>
    </xf>
    <xf numFmtId="2" fontId="2" fillId="27" borderId="10" pivotButton="0" quotePrefix="0" xfId="0"/>
    <xf numFmtId="2" fontId="3" fillId="4" borderId="10" applyAlignment="1" pivotButton="0" quotePrefix="0" xfId="0">
      <alignment horizontal="left"/>
    </xf>
    <xf numFmtId="2" fontId="3" fillId="5" borderId="10" applyAlignment="1" pivotButton="0" quotePrefix="0" xfId="0">
      <alignment horizontal="left"/>
    </xf>
    <xf numFmtId="2" fontId="3" fillId="6" borderId="10" applyAlignment="1" pivotButton="0" quotePrefix="0" xfId="0">
      <alignment horizontal="left"/>
    </xf>
    <xf numFmtId="2" fontId="3" fillId="7" borderId="10" applyAlignment="1" pivotButton="0" quotePrefix="0" xfId="0">
      <alignment horizontal="left"/>
    </xf>
    <xf numFmtId="2" fontId="3" fillId="8" borderId="10" applyAlignment="1" pivotButton="0" quotePrefix="0" xfId="0">
      <alignment horizontal="left"/>
    </xf>
    <xf numFmtId="2" fontId="3" fillId="9" borderId="10" applyAlignment="1" pivotButton="0" quotePrefix="0" xfId="0">
      <alignment horizontal="left"/>
    </xf>
    <xf numFmtId="2" fontId="3" fillId="10" borderId="10" applyAlignment="1" pivotButton="0" quotePrefix="0" xfId="0">
      <alignment horizontal="left"/>
    </xf>
    <xf numFmtId="2" fontId="3" fillId="11" borderId="10" applyAlignment="1" pivotButton="0" quotePrefix="0" xfId="0">
      <alignment horizontal="left"/>
    </xf>
    <xf numFmtId="0" fontId="2" fillId="27" borderId="1" pivotButton="0" quotePrefix="0" xfId="0"/>
    <xf numFmtId="2" fontId="3" fillId="4" borderId="1" applyAlignment="1" pivotButton="0" quotePrefix="0" xfId="0">
      <alignment horizontal="left"/>
    </xf>
    <xf numFmtId="2" fontId="3" fillId="5" borderId="1" applyAlignment="1" pivotButton="0" quotePrefix="0" xfId="0">
      <alignment horizontal="left"/>
    </xf>
    <xf numFmtId="2" fontId="3" fillId="6" borderId="1" applyAlignment="1" pivotButton="0" quotePrefix="0" xfId="0">
      <alignment horizontal="left"/>
    </xf>
    <xf numFmtId="2" fontId="3" fillId="7" borderId="1" applyAlignment="1" pivotButton="0" quotePrefix="0" xfId="0">
      <alignment horizontal="left"/>
    </xf>
    <xf numFmtId="2" fontId="3" fillId="8" borderId="1" applyAlignment="1" pivotButton="0" quotePrefix="0" xfId="0">
      <alignment horizontal="left"/>
    </xf>
    <xf numFmtId="2" fontId="3" fillId="9" borderId="1" applyAlignment="1" pivotButton="0" quotePrefix="0" xfId="0">
      <alignment horizontal="left"/>
    </xf>
    <xf numFmtId="2" fontId="3" fillId="10" borderId="1" applyAlignment="1" pivotButton="0" quotePrefix="0" xfId="0">
      <alignment horizontal="left"/>
    </xf>
    <xf numFmtId="2" fontId="3" fillId="11" borderId="1" applyAlignment="1" pivotButton="0" quotePrefix="0" xfId="0">
      <alignment horizontal="left"/>
    </xf>
    <xf numFmtId="0" fontId="2" fillId="3" borderId="0" applyAlignment="1" pivotButton="0" quotePrefix="0" xfId="0">
      <alignment horizontal="left"/>
    </xf>
    <xf numFmtId="2" fontId="2" fillId="27" borderId="1" pivotButton="0" quotePrefix="0" xfId="0"/>
    <xf numFmtId="2" fontId="3" fillId="27" borderId="1" applyAlignment="1" pivotButton="0" quotePrefix="0" xfId="0">
      <alignment horizontal="left"/>
    </xf>
    <xf numFmtId="0" fontId="3" fillId="4" borderId="1" applyAlignment="1" pivotButton="0" quotePrefix="0" xfId="0">
      <alignment horizontal="left"/>
    </xf>
    <xf numFmtId="0" fontId="3" fillId="5" borderId="1" applyAlignment="1" pivotButton="0" quotePrefix="0" xfId="0">
      <alignment horizontal="left"/>
    </xf>
    <xf numFmtId="0" fontId="3" fillId="6" borderId="1" applyAlignment="1" pivotButton="0" quotePrefix="0" xfId="0">
      <alignment horizontal="left"/>
    </xf>
    <xf numFmtId="0" fontId="3" fillId="7" borderId="1" applyAlignment="1" pivotButton="0" quotePrefix="0" xfId="0">
      <alignment horizontal="left"/>
    </xf>
    <xf numFmtId="0" fontId="3" fillId="8" borderId="1" applyAlignment="1" pivotButton="0" quotePrefix="0" xfId="0">
      <alignment horizontal="left"/>
    </xf>
    <xf numFmtId="0" fontId="3" fillId="9" borderId="1" applyAlignment="1" pivotButton="0" quotePrefix="0" xfId="0">
      <alignment horizontal="left"/>
    </xf>
    <xf numFmtId="0" fontId="3" fillId="10" borderId="1" applyAlignment="1" pivotButton="0" quotePrefix="0" xfId="0">
      <alignment horizontal="left"/>
    </xf>
    <xf numFmtId="0" fontId="3" fillId="11" borderId="1" applyAlignment="1" pivotButton="0" quotePrefix="0" xfId="0">
      <alignment horizontal="left"/>
    </xf>
    <xf numFmtId="0" fontId="4" fillId="3" borderId="0" pivotButton="0" quotePrefix="0" xfId="0"/>
    <xf numFmtId="0" fontId="4" fillId="3" borderId="0" applyAlignment="1" pivotButton="0" quotePrefix="0" xfId="0">
      <alignment horizontal="left"/>
    </xf>
    <xf numFmtId="0" fontId="4" fillId="3" borderId="0" applyAlignment="1" pivotButton="0" quotePrefix="0" xfId="0">
      <alignment vertical="center" wrapText="1"/>
    </xf>
    <xf numFmtId="2" fontId="2" fillId="28" borderId="2" pivotButton="0" quotePrefix="0" xfId="0"/>
    <xf numFmtId="164" fontId="2" fillId="3" borderId="1" pivotButton="0" quotePrefix="0" xfId="0"/>
    <xf numFmtId="164" fontId="3" fillId="3" borderId="1" applyAlignment="1" pivotButton="0" quotePrefix="0" xfId="0">
      <alignment horizontal="left"/>
    </xf>
    <xf numFmtId="164" fontId="2" fillId="12" borderId="1" pivotButton="0" quotePrefix="0" xfId="0"/>
    <xf numFmtId="164" fontId="3" fillId="12" borderId="1" applyAlignment="1" pivotButton="0" quotePrefix="0" xfId="0">
      <alignment horizontal="left"/>
    </xf>
    <xf numFmtId="164" fontId="2" fillId="13" borderId="1" pivotButton="0" quotePrefix="0" xfId="0"/>
    <xf numFmtId="164" fontId="3" fillId="13" borderId="1" applyAlignment="1" pivotButton="0" quotePrefix="0" xfId="0">
      <alignment horizontal="left"/>
    </xf>
    <xf numFmtId="164" fontId="2" fillId="14" borderId="1" pivotButton="0" quotePrefix="0" xfId="0"/>
    <xf numFmtId="164" fontId="3" fillId="14" borderId="1" applyAlignment="1" pivotButton="0" quotePrefix="0" xfId="0">
      <alignment horizontal="left"/>
    </xf>
    <xf numFmtId="0" fontId="2" fillId="15" borderId="1" pivotButton="0" quotePrefix="0" xfId="0"/>
    <xf numFmtId="164" fontId="3" fillId="15" borderId="1" applyAlignment="1" pivotButton="0" quotePrefix="0" xfId="0">
      <alignment horizontal="left"/>
    </xf>
    <xf numFmtId="164" fontId="2" fillId="16" borderId="1" pivotButton="0" quotePrefix="0" xfId="0"/>
    <xf numFmtId="164" fontId="3" fillId="16" borderId="1" applyAlignment="1" pivotButton="0" quotePrefix="0" xfId="0">
      <alignment horizontal="left"/>
    </xf>
    <xf numFmtId="0" fontId="2" fillId="28" borderId="2" pivotButton="0" quotePrefix="0" xfId="0"/>
    <xf numFmtId="164" fontId="2" fillId="17" borderId="1" pivotButton="0" quotePrefix="0" xfId="0"/>
    <xf numFmtId="164" fontId="3" fillId="17" borderId="1" applyAlignment="1" pivotButton="0" quotePrefix="0" xfId="0">
      <alignment horizontal="left"/>
    </xf>
    <xf numFmtId="0" fontId="4" fillId="0" borderId="0" pivotButton="0" quotePrefix="0" xfId="0"/>
    <xf numFmtId="0" fontId="4" fillId="3" borderId="0" applyAlignment="1" pivotButton="0" quotePrefix="0" xfId="0">
      <alignment horizontal="left" wrapText="1"/>
    </xf>
    <xf numFmtId="0" fontId="4" fillId="29" borderId="0" applyAlignment="1" pivotButton="0" quotePrefix="0" xfId="0">
      <alignment horizontal="left"/>
    </xf>
    <xf numFmtId="0" fontId="5" fillId="3" borderId="0" applyAlignment="1" pivotButton="0" quotePrefix="0" xfId="0">
      <alignment horizontal="left"/>
    </xf>
    <xf numFmtId="0" fontId="6" fillId="3" borderId="0" applyAlignment="1" pivotButton="0" quotePrefix="0" xfId="0">
      <alignment horizontal="left"/>
    </xf>
    <xf numFmtId="0" fontId="4" fillId="24" borderId="0" applyAlignment="1" pivotButton="0" quotePrefix="0" xfId="0">
      <alignment horizontal="left"/>
    </xf>
    <xf numFmtId="0" fontId="2" fillId="30" borderId="0" pivotButton="0" quotePrefix="0" xfId="0"/>
    <xf numFmtId="0" fontId="2" fillId="21" borderId="0" applyAlignment="1" pivotButton="0" quotePrefix="0" xfId="0">
      <alignment horizontal="left"/>
    </xf>
    <xf numFmtId="0" fontId="2" fillId="31" borderId="0" applyAlignment="1" pivotButton="0" quotePrefix="0" xfId="0">
      <alignment horizontal="left"/>
    </xf>
    <xf numFmtId="0" fontId="2" fillId="32" borderId="0" applyAlignment="1" pivotButton="0" quotePrefix="0" xfId="0">
      <alignment horizontal="left"/>
    </xf>
    <xf numFmtId="0" fontId="2" fillId="6" borderId="0" applyAlignment="1" pivotButton="0" quotePrefix="0" xfId="0">
      <alignment horizontal="left"/>
    </xf>
    <xf numFmtId="0" fontId="2" fillId="33" borderId="0" applyAlignment="1" pivotButton="0" quotePrefix="0" xfId="0">
      <alignment horizontal="left"/>
    </xf>
    <xf numFmtId="0" fontId="2" fillId="8" borderId="0" applyAlignment="1" pivotButton="0" quotePrefix="0" xfId="0">
      <alignment horizontal="left"/>
    </xf>
    <xf numFmtId="0" fontId="2" fillId="10" borderId="0" applyAlignment="1" pivotButton="0" quotePrefix="0" xfId="0">
      <alignment horizontal="left"/>
    </xf>
    <xf numFmtId="0" fontId="2" fillId="34" borderId="0" applyAlignment="1" pivotButton="0" quotePrefix="0" xfId="0">
      <alignment horizontal="left"/>
    </xf>
    <xf numFmtId="0" fontId="2" fillId="7" borderId="0" applyAlignment="1" pivotButton="0" quotePrefix="0" xfId="0">
      <alignment horizontal="left"/>
    </xf>
    <xf numFmtId="0" fontId="2" fillId="9" borderId="0" applyAlignment="1" pivotButton="0" quotePrefix="0" xfId="0">
      <alignment horizontal="left"/>
    </xf>
    <xf numFmtId="2" fontId="2" fillId="27" borderId="0" pivotButton="0" quotePrefix="0" xfId="0"/>
    <xf numFmtId="2" fontId="2" fillId="24" borderId="0" pivotButton="0" quotePrefix="0" xfId="0"/>
    <xf numFmtId="2" fontId="2" fillId="21" borderId="0" applyAlignment="1" pivotButton="0" quotePrefix="0" xfId="0">
      <alignment horizontal="left"/>
    </xf>
    <xf numFmtId="2" fontId="2" fillId="31" borderId="0" applyAlignment="1" pivotButton="0" quotePrefix="0" xfId="0">
      <alignment horizontal="left"/>
    </xf>
    <xf numFmtId="2" fontId="2" fillId="32" borderId="0" applyAlignment="1" pivotButton="0" quotePrefix="0" xfId="0">
      <alignment horizontal="left"/>
    </xf>
    <xf numFmtId="2" fontId="2" fillId="6" borderId="0" applyAlignment="1" pivotButton="0" quotePrefix="0" xfId="0">
      <alignment horizontal="left"/>
    </xf>
    <xf numFmtId="2" fontId="2" fillId="33" borderId="0" applyAlignment="1" pivotButton="0" quotePrefix="0" xfId="0">
      <alignment horizontal="left"/>
    </xf>
    <xf numFmtId="2" fontId="2" fillId="8" borderId="0" applyAlignment="1" pivotButton="0" quotePrefix="0" xfId="0">
      <alignment horizontal="left"/>
    </xf>
    <xf numFmtId="2" fontId="2" fillId="10" borderId="0" applyAlignment="1" pivotButton="0" quotePrefix="0" xfId="0">
      <alignment horizontal="left"/>
    </xf>
    <xf numFmtId="2" fontId="2" fillId="34" borderId="0" applyAlignment="1" pivotButton="0" quotePrefix="0" xfId="0">
      <alignment horizontal="left"/>
    </xf>
    <xf numFmtId="2" fontId="2" fillId="7" borderId="0" applyAlignment="1" pivotButton="0" quotePrefix="0" xfId="0">
      <alignment horizontal="left"/>
    </xf>
    <xf numFmtId="2" fontId="2" fillId="9" borderId="0" applyAlignment="1" pivotButton="0" quotePrefix="0" xfId="0">
      <alignment horizontal="left"/>
    </xf>
    <xf numFmtId="165" fontId="2" fillId="7" borderId="0" applyAlignment="1" pivotButton="0" quotePrefix="0" xfId="0">
      <alignment horizontal="left"/>
    </xf>
    <xf numFmtId="165" fontId="2" fillId="9" borderId="0" applyAlignment="1" pivotButton="0" quotePrefix="0" xfId="0">
      <alignment horizontal="left"/>
    </xf>
    <xf numFmtId="0" fontId="2" fillId="27" borderId="0" pivotButton="0" quotePrefix="0" xfId="0"/>
    <xf numFmtId="0" fontId="2" fillId="24" borderId="0" pivotButton="0" quotePrefix="0" xfId="0"/>
    <xf numFmtId="165" fontId="2" fillId="21" borderId="0" applyAlignment="1" pivotButton="0" quotePrefix="0" xfId="0">
      <alignment horizontal="left"/>
    </xf>
    <xf numFmtId="165" fontId="2" fillId="31" borderId="0" applyAlignment="1" pivotButton="0" quotePrefix="0" xfId="0">
      <alignment horizontal="left"/>
    </xf>
    <xf numFmtId="165" fontId="2" fillId="32" borderId="0" applyAlignment="1" pivotButton="0" quotePrefix="0" xfId="0">
      <alignment horizontal="left"/>
    </xf>
    <xf numFmtId="165" fontId="2" fillId="6" borderId="0" applyAlignment="1" pivotButton="0" quotePrefix="0" xfId="0">
      <alignment horizontal="left"/>
    </xf>
    <xf numFmtId="165" fontId="2" fillId="33" borderId="0" applyAlignment="1" pivotButton="0" quotePrefix="0" xfId="0">
      <alignment horizontal="left"/>
    </xf>
    <xf numFmtId="165" fontId="2" fillId="8" borderId="0" applyAlignment="1" pivotButton="0" quotePrefix="0" xfId="0">
      <alignment horizontal="left"/>
    </xf>
    <xf numFmtId="165" fontId="2" fillId="10" borderId="0" applyAlignment="1" pivotButton="0" quotePrefix="0" xfId="0">
      <alignment horizontal="left"/>
    </xf>
    <xf numFmtId="165" fontId="2" fillId="34" borderId="0" applyAlignment="1" pivotButton="0" quotePrefix="0" xfId="0">
      <alignment horizontal="left"/>
    </xf>
    <xf numFmtId="165" fontId="2" fillId="0" borderId="0" applyAlignment="1" pivotButton="0" quotePrefix="0" xfId="0">
      <alignment horizontal="left"/>
    </xf>
    <xf numFmtId="2" fontId="2" fillId="18" borderId="0" pivotButton="0" quotePrefix="0" xfId="0"/>
    <xf numFmtId="2" fontId="2" fillId="0" borderId="0" applyAlignment="1" pivotButton="0" quotePrefix="0" xfId="0">
      <alignment horizontal="left"/>
    </xf>
    <xf numFmtId="0" fontId="2" fillId="18" borderId="0" pivotButton="0" quotePrefix="0" xfId="0"/>
    <xf numFmtId="0" fontId="2" fillId="2" borderId="0" pivotButton="0" quotePrefix="0" xfId="0"/>
    <xf numFmtId="167" fontId="2" fillId="33" borderId="0" applyAlignment="1" pivotButton="0" quotePrefix="0" xfId="0">
      <alignment horizontal="left"/>
    </xf>
    <xf numFmtId="167" fontId="2" fillId="8" borderId="0" applyAlignment="1" pivotButton="0" quotePrefix="0" xfId="0">
      <alignment horizontal="left"/>
    </xf>
    <xf numFmtId="167" fontId="2" fillId="10" borderId="0" applyAlignment="1" pivotButton="0" quotePrefix="0" xfId="0">
      <alignment horizontal="left"/>
    </xf>
    <xf numFmtId="165" fontId="2" fillId="25" borderId="0" pivotButton="0" quotePrefix="0" xfId="0"/>
    <xf numFmtId="165" fontId="2" fillId="20" borderId="0" pivotButton="0" quotePrefix="0" xfId="0"/>
    <xf numFmtId="0" fontId="2" fillId="20" borderId="0" pivotButton="0" quotePrefix="0" xfId="0"/>
    <xf numFmtId="0" fontId="4" fillId="3" borderId="0" applyAlignment="1" pivotButton="0" quotePrefix="0" xfId="0">
      <alignment horizontal="right"/>
    </xf>
    <xf numFmtId="165" fontId="4" fillId="0" borderId="0" pivotButton="0" quotePrefix="0" xfId="0"/>
    <xf numFmtId="0" fontId="4" fillId="2" borderId="0" pivotButton="0" quotePrefix="0" xfId="0"/>
    <xf numFmtId="0" fontId="7" fillId="2" borderId="0" pivotButton="0" quotePrefix="0" xfId="0"/>
    <xf numFmtId="164" fontId="2" fillId="2" borderId="0" pivotButton="0" quotePrefix="0" xfId="0"/>
    <xf numFmtId="0" fontId="2" fillId="12" borderId="0" pivotButton="0" quotePrefix="0" xfId="0"/>
    <xf numFmtId="0" fontId="2" fillId="12" borderId="0" applyAlignment="1" pivotButton="0" quotePrefix="0" xfId="0">
      <alignment horizontal="left"/>
    </xf>
    <xf numFmtId="164" fontId="2" fillId="12" borderId="0" pivotButton="0" quotePrefix="0" xfId="0"/>
    <xf numFmtId="164" fontId="8" fillId="12" borderId="0" applyAlignment="1" pivotButton="0" quotePrefix="0" xfId="0">
      <alignment horizontal="left"/>
    </xf>
    <xf numFmtId="165" fontId="2" fillId="12" borderId="0" pivotButton="0" quotePrefix="0" xfId="0"/>
    <xf numFmtId="165" fontId="2" fillId="2" borderId="0" pivotButton="0" quotePrefix="0" xfId="0"/>
    <xf numFmtId="165" fontId="3" fillId="12" borderId="0" applyAlignment="1" pivotButton="0" quotePrefix="0" xfId="0">
      <alignment horizontal="left"/>
    </xf>
    <xf numFmtId="165" fontId="8" fillId="12" borderId="0" applyAlignment="1" pivotButton="0" quotePrefix="0" xfId="0">
      <alignment horizontal="left"/>
    </xf>
    <xf numFmtId="0" fontId="2" fillId="13" borderId="0" pivotButton="0" quotePrefix="0" xfId="0"/>
    <xf numFmtId="0" fontId="2" fillId="13" borderId="0" applyAlignment="1" pivotButton="0" quotePrefix="0" xfId="0">
      <alignment horizontal="left"/>
    </xf>
    <xf numFmtId="164" fontId="2" fillId="13" borderId="0" pivotButton="0" quotePrefix="0" xfId="0"/>
    <xf numFmtId="164" fontId="8" fillId="13" borderId="0" applyAlignment="1" pivotButton="0" quotePrefix="0" xfId="0">
      <alignment horizontal="left"/>
    </xf>
    <xf numFmtId="165" fontId="2" fillId="13" borderId="0" pivotButton="0" quotePrefix="0" xfId="0"/>
    <xf numFmtId="165" fontId="3" fillId="13" borderId="0" applyAlignment="1" pivotButton="0" quotePrefix="0" xfId="0">
      <alignment horizontal="left"/>
    </xf>
    <xf numFmtId="165" fontId="8" fillId="13" borderId="0" applyAlignment="1" pivotButton="0" quotePrefix="0" xfId="0">
      <alignment horizontal="left"/>
    </xf>
    <xf numFmtId="0" fontId="2" fillId="14" borderId="0" pivotButton="0" quotePrefix="0" xfId="0"/>
    <xf numFmtId="0" fontId="2" fillId="14" borderId="0" applyAlignment="1" pivotButton="0" quotePrefix="0" xfId="0">
      <alignment horizontal="left"/>
    </xf>
    <xf numFmtId="164" fontId="2" fillId="14" borderId="0" pivotButton="0" quotePrefix="0" xfId="0"/>
    <xf numFmtId="164" fontId="8" fillId="14" borderId="0" applyAlignment="1" pivotButton="0" quotePrefix="0" xfId="0">
      <alignment horizontal="left"/>
    </xf>
    <xf numFmtId="165" fontId="2" fillId="14" borderId="0" pivotButton="0" quotePrefix="0" xfId="0"/>
    <xf numFmtId="165" fontId="3" fillId="14" borderId="0" applyAlignment="1" pivotButton="0" quotePrefix="0" xfId="0">
      <alignment horizontal="left"/>
    </xf>
    <xf numFmtId="165" fontId="8" fillId="14" borderId="0" applyAlignment="1" pivotButton="0" quotePrefix="0" xfId="0">
      <alignment horizontal="left"/>
    </xf>
    <xf numFmtId="0" fontId="2" fillId="15" borderId="0" pivotButton="0" quotePrefix="0" xfId="0"/>
    <xf numFmtId="0" fontId="2" fillId="15" borderId="0" applyAlignment="1" pivotButton="0" quotePrefix="0" xfId="0">
      <alignment horizontal="left"/>
    </xf>
    <xf numFmtId="164" fontId="2" fillId="15" borderId="0" applyAlignment="1" pivotButton="0" quotePrefix="0" xfId="0">
      <alignment horizontal="left"/>
    </xf>
    <xf numFmtId="165" fontId="2" fillId="15" borderId="0" pivotButton="0" quotePrefix="0" xfId="0"/>
    <xf numFmtId="165" fontId="2" fillId="15" borderId="0" applyAlignment="1" pivotButton="0" quotePrefix="0" xfId="0">
      <alignment horizontal="left"/>
    </xf>
    <xf numFmtId="0" fontId="2" fillId="16" borderId="0" pivotButton="0" quotePrefix="0" xfId="0"/>
    <xf numFmtId="0" fontId="2" fillId="16" borderId="0" applyAlignment="1" pivotButton="0" quotePrefix="0" xfId="0">
      <alignment horizontal="left"/>
    </xf>
    <xf numFmtId="164" fontId="2" fillId="16" borderId="0" pivotButton="0" quotePrefix="0" xfId="0"/>
    <xf numFmtId="164" fontId="8" fillId="16" borderId="0" applyAlignment="1" pivotButton="0" quotePrefix="0" xfId="0">
      <alignment horizontal="left"/>
    </xf>
    <xf numFmtId="165" fontId="2" fillId="16" borderId="0" pivotButton="0" quotePrefix="0" xfId="0"/>
    <xf numFmtId="165" fontId="3" fillId="16" borderId="0" applyAlignment="1" pivotButton="0" quotePrefix="0" xfId="0">
      <alignment horizontal="left"/>
    </xf>
    <xf numFmtId="165" fontId="8" fillId="16" borderId="0" applyAlignment="1" pivotButton="0" quotePrefix="0" xfId="0">
      <alignment horizontal="left"/>
    </xf>
    <xf numFmtId="0" fontId="2" fillId="17" borderId="0" pivotButton="0" quotePrefix="0" xfId="0"/>
    <xf numFmtId="0" fontId="2" fillId="17" borderId="0" applyAlignment="1" pivotButton="0" quotePrefix="0" xfId="0">
      <alignment horizontal="left"/>
    </xf>
    <xf numFmtId="164" fontId="2" fillId="17" borderId="0" pivotButton="0" quotePrefix="0" xfId="0"/>
    <xf numFmtId="164" fontId="8" fillId="17" borderId="0" applyAlignment="1" pivotButton="0" quotePrefix="0" xfId="0">
      <alignment horizontal="left"/>
    </xf>
    <xf numFmtId="165" fontId="2" fillId="17" borderId="0" pivotButton="0" quotePrefix="0" xfId="0"/>
    <xf numFmtId="165" fontId="3" fillId="17" borderId="0" applyAlignment="1" pivotButton="0" quotePrefix="0" xfId="0">
      <alignment horizontal="left"/>
    </xf>
    <xf numFmtId="165" fontId="8" fillId="17" borderId="0" applyAlignment="1" pivotButton="0" quotePrefix="0" xfId="0">
      <alignment horizontal="left"/>
    </xf>
    <xf numFmtId="165" fontId="2" fillId="3" borderId="0" pivotButton="0" quotePrefix="0" xfId="0"/>
    <xf numFmtId="165" fontId="3" fillId="3" borderId="0" applyAlignment="1" pivotButton="0" quotePrefix="0" xfId="0">
      <alignment horizontal="left"/>
    </xf>
    <xf numFmtId="165" fontId="8" fillId="3" borderId="0" applyAlignment="1" pivotButton="0" quotePrefix="0" xfId="0">
      <alignment horizontal="left"/>
    </xf>
    <xf numFmtId="165" fontId="1" fillId="25" borderId="0" pivotButton="0" quotePrefix="0" xfId="0"/>
    <xf numFmtId="0" fontId="2" fillId="25" borderId="0" pivotButton="0" quotePrefix="0" xfId="0"/>
    <xf numFmtId="164" fontId="2" fillId="25" borderId="0" pivotButton="0" quotePrefix="0" xfId="0"/>
    <xf numFmtId="49" fontId="4" fillId="0" borderId="0" pivotButton="0" quotePrefix="0" xfId="0"/>
    <xf numFmtId="168" fontId="4" fillId="0" borderId="0" pivotButton="0" quotePrefix="0" xfId="0"/>
    <xf numFmtId="14" fontId="4" fillId="0" borderId="0" pivotButton="0" quotePrefix="0" xfId="0"/>
    <xf numFmtId="49" fontId="4" fillId="30" borderId="0" pivotButton="0" quotePrefix="0" xfId="0"/>
    <xf numFmtId="168" fontId="4" fillId="30" borderId="0" pivotButton="0" quotePrefix="0" xfId="0"/>
    <xf numFmtId="0" fontId="4" fillId="30" borderId="0" pivotButton="0" quotePrefix="0" xfId="0"/>
    <xf numFmtId="14" fontId="4" fillId="30" borderId="0" pivotButton="0" quotePrefix="0" xfId="0"/>
    <xf numFmtId="169" fontId="4" fillId="30" borderId="0" pivotButton="0" quotePrefix="0" xfId="0"/>
    <xf numFmtId="170" fontId="4" fillId="30" borderId="0" pivotButton="0" quotePrefix="0" xfId="0"/>
    <xf numFmtId="0" fontId="4" fillId="24" borderId="0" pivotButton="0" quotePrefix="0" xfId="0"/>
    <xf numFmtId="169" fontId="4" fillId="0" borderId="0" pivotButton="0" quotePrefix="0" xfId="0"/>
    <xf numFmtId="170" fontId="4" fillId="0" borderId="0" pivotButton="0" quotePrefix="0" xfId="0"/>
    <xf numFmtId="0" fontId="4" fillId="35" borderId="0" pivotButton="0" quotePrefix="0" xfId="0"/>
    <xf numFmtId="49" fontId="4" fillId="29" borderId="0" pivotButton="0" quotePrefix="0" xfId="0"/>
    <xf numFmtId="168" fontId="4" fillId="29" borderId="0" pivotButton="0" quotePrefix="0" xfId="0"/>
    <xf numFmtId="0" fontId="4" fillId="29" borderId="0" pivotButton="0" quotePrefix="0" xfId="0"/>
    <xf numFmtId="14" fontId="4" fillId="29" borderId="0" pivotButton="0" quotePrefix="0" xfId="0"/>
    <xf numFmtId="169" fontId="4" fillId="29" borderId="0" pivotButton="0" quotePrefix="0" xfId="0"/>
    <xf numFmtId="170" fontId="4" fillId="29" borderId="0" pivotButton="0" quotePrefix="0" xfId="0"/>
    <xf numFmtId="49" fontId="4" fillId="24" borderId="0" pivotButton="0" quotePrefix="0" xfId="0"/>
    <xf numFmtId="168" fontId="4" fillId="24" borderId="0" pivotButton="0" quotePrefix="0" xfId="0"/>
    <xf numFmtId="14" fontId="4" fillId="24" borderId="0" pivotButton="0" quotePrefix="0" xfId="0"/>
    <xf numFmtId="168" fontId="4" fillId="3" borderId="0" pivotButton="0" quotePrefix="0" xfId="0"/>
    <xf numFmtId="0" fontId="0" fillId="3" borderId="0" pivotButton="0" quotePrefix="0" xfId="0"/>
    <xf numFmtId="49" fontId="0" fillId="36" borderId="0" pivotButton="0" quotePrefix="0" xfId="0"/>
    <xf numFmtId="49" fontId="0" fillId="3" borderId="0" pivotButton="0" quotePrefix="0" xfId="0"/>
    <xf numFmtId="49" fontId="0" fillId="0" borderId="0" pivotButton="0" quotePrefix="0" xfId="0"/>
    <xf numFmtId="4" fontId="0" fillId="3" borderId="0" pivotButton="0" quotePrefix="0" xfId="0"/>
    <xf numFmtId="0" fontId="0" fillId="3" borderId="14" pivotButton="0" quotePrefix="0" xfId="0"/>
    <xf numFmtId="0" fontId="0" fillId="3" borderId="15" pivotButton="0" quotePrefix="0" xfId="0"/>
    <xf numFmtId="49" fontId="0" fillId="36" borderId="16" pivotButton="0" quotePrefix="0" xfId="0"/>
    <xf numFmtId="49" fontId="0" fillId="3" borderId="15" pivotButton="0" quotePrefix="0" xfId="0"/>
    <xf numFmtId="49" fontId="0" fillId="0" borderId="15" pivotButton="0" quotePrefix="0" xfId="0"/>
    <xf numFmtId="4" fontId="0" fillId="3" borderId="15" pivotButton="0" quotePrefix="0" xfId="0"/>
    <xf numFmtId="49" fontId="0" fillId="0" borderId="17" pivotButton="0" quotePrefix="0" xfId="0"/>
    <xf numFmtId="49" fontId="0" fillId="3" borderId="18" pivotButton="0" quotePrefix="0" xfId="0"/>
    <xf numFmtId="49" fontId="9" fillId="37" borderId="19" pivotButton="0" quotePrefix="0" xfId="0"/>
    <xf numFmtId="167" fontId="9" fillId="37" borderId="20" pivotButton="0" quotePrefix="0" xfId="0"/>
    <xf numFmtId="0" fontId="9" fillId="37" borderId="20" pivotButton="0" quotePrefix="0" xfId="0"/>
    <xf numFmtId="0" fontId="10" fillId="37" borderId="20" pivotButton="0" quotePrefix="0" xfId="0"/>
    <xf numFmtId="0" fontId="0" fillId="3" borderId="18" pivotButton="0" quotePrefix="0" xfId="0"/>
    <xf numFmtId="49" fontId="0" fillId="36" borderId="20" pivotButton="0" quotePrefix="0" xfId="0"/>
    <xf numFmtId="165" fontId="0" fillId="0" borderId="15" pivotButton="0" quotePrefix="0" xfId="0"/>
    <xf numFmtId="171" fontId="0" fillId="3" borderId="15" pivotButton="0" quotePrefix="0" xfId="0"/>
    <xf numFmtId="171" fontId="0" fillId="0" borderId="15" pivotButton="0" quotePrefix="0" xfId="0"/>
    <xf numFmtId="167" fontId="0" fillId="0" borderId="15" pivotButton="0" quotePrefix="0" xfId="0"/>
    <xf numFmtId="167" fontId="0" fillId="3" borderId="15" pivotButton="0" quotePrefix="0" xfId="0"/>
    <xf numFmtId="167" fontId="0" fillId="0" borderId="17" pivotButton="0" quotePrefix="0" xfId="0"/>
    <xf numFmtId="0" fontId="0" fillId="3" borderId="24" pivotButton="0" quotePrefix="0" xfId="0"/>
    <xf numFmtId="49" fontId="12" fillId="3" borderId="18" pivotButton="0" quotePrefix="0" xfId="0"/>
    <xf numFmtId="49" fontId="13" fillId="3" borderId="15" pivotButton="0" quotePrefix="0" xfId="0"/>
    <xf numFmtId="49" fontId="11" fillId="3" borderId="24" pivotButton="0" quotePrefix="0" xfId="0"/>
    <xf numFmtId="49" fontId="0" fillId="3" borderId="27" applyAlignment="1" pivotButton="0" quotePrefix="0" xfId="0">
      <alignment horizontal="left"/>
    </xf>
    <xf numFmtId="49" fontId="0" fillId="3" borderId="14" pivotButton="0" quotePrefix="0" xfId="0"/>
    <xf numFmtId="49" fontId="0" fillId="3" borderId="14" applyAlignment="1" pivotButton="0" quotePrefix="0" xfId="0">
      <alignment horizontal="right"/>
    </xf>
    <xf numFmtId="49" fontId="13" fillId="3" borderId="15" applyAlignment="1" pivotButton="0" quotePrefix="0" xfId="0">
      <alignment horizontal="right"/>
    </xf>
    <xf numFmtId="0" fontId="0" fillId="3" borderId="28" pivotButton="0" quotePrefix="0" xfId="0"/>
    <xf numFmtId="165" fontId="11" fillId="19" borderId="20" pivotButton="0" quotePrefix="0" xfId="0"/>
    <xf numFmtId="172" fontId="11" fillId="11" borderId="20" pivotButton="0" quotePrefix="0" xfId="0"/>
    <xf numFmtId="171" fontId="11" fillId="11" borderId="20" pivotButton="0" quotePrefix="0" xfId="0"/>
    <xf numFmtId="167" fontId="14" fillId="3" borderId="15" pivotButton="0" quotePrefix="0" xfId="0"/>
    <xf numFmtId="49" fontId="0" fillId="3" borderId="14" applyAlignment="1" pivotButton="0" quotePrefix="0" xfId="0">
      <alignment horizontal="left"/>
    </xf>
    <xf numFmtId="171" fontId="11" fillId="19" borderId="20" pivotButton="0" quotePrefix="0" xfId="0"/>
    <xf numFmtId="49" fontId="0" fillId="3" borderId="27" pivotButton="0" quotePrefix="0" xfId="0"/>
    <xf numFmtId="165" fontId="0" fillId="24" borderId="15" pivotButton="0" quotePrefix="0" xfId="0"/>
    <xf numFmtId="49" fontId="0" fillId="3" borderId="14" applyAlignment="1" pivotButton="0" quotePrefix="0" xfId="0">
      <alignment horizontal="center"/>
    </xf>
    <xf numFmtId="49" fontId="15" fillId="3" borderId="14" pivotButton="0" quotePrefix="0" xfId="0"/>
    <xf numFmtId="49" fontId="15" fillId="3" borderId="14" applyAlignment="1" pivotButton="0" quotePrefix="0" xfId="0">
      <alignment horizontal="left"/>
    </xf>
    <xf numFmtId="167" fontId="11" fillId="19" borderId="20" pivotButton="0" quotePrefix="0" xfId="0"/>
    <xf numFmtId="167" fontId="16" fillId="28" borderId="20" pivotButton="0" quotePrefix="0" xfId="0"/>
    <xf numFmtId="171" fontId="16" fillId="28" borderId="20" pivotButton="0" quotePrefix="0" xfId="0"/>
    <xf numFmtId="0" fontId="16" fillId="28" borderId="20" pivotButton="0" quotePrefix="0" xfId="0"/>
    <xf numFmtId="167" fontId="14" fillId="3" borderId="18" pivotButton="0" quotePrefix="0" xfId="0"/>
    <xf numFmtId="49" fontId="11" fillId="3" borderId="15" pivotButton="0" quotePrefix="0" xfId="0"/>
    <xf numFmtId="171" fontId="11" fillId="3" borderId="14" pivotButton="0" quotePrefix="0" xfId="0"/>
    <xf numFmtId="171" fontId="11" fillId="3" borderId="15" pivotButton="0" quotePrefix="0" xfId="0"/>
    <xf numFmtId="171" fontId="13" fillId="3" borderId="15" pivotButton="0" quotePrefix="0" xfId="0"/>
    <xf numFmtId="49" fontId="11" fillId="3" borderId="28" applyAlignment="1" pivotButton="0" quotePrefix="0" xfId="0">
      <alignment horizontal="right"/>
    </xf>
    <xf numFmtId="0" fontId="11" fillId="11" borderId="20" applyAlignment="1" pivotButton="0" quotePrefix="0" xfId="0">
      <alignment horizontal="left"/>
    </xf>
    <xf numFmtId="0" fontId="13" fillId="3" borderId="15" pivotButton="0" quotePrefix="0" xfId="0"/>
    <xf numFmtId="167" fontId="11" fillId="19" borderId="20" applyAlignment="1" pivotButton="0" quotePrefix="0" xfId="0">
      <alignment horizontal="right"/>
    </xf>
    <xf numFmtId="167" fontId="11" fillId="39" borderId="20" pivotButton="0" quotePrefix="0" xfId="0"/>
    <xf numFmtId="1" fontId="11" fillId="39" borderId="20" pivotButton="0" quotePrefix="0" xfId="0"/>
    <xf numFmtId="0" fontId="0" fillId="0" borderId="15" pivotButton="0" quotePrefix="0" xfId="0"/>
    <xf numFmtId="169" fontId="0" fillId="0" borderId="15" pivotButton="0" quotePrefix="0" xfId="0"/>
    <xf numFmtId="0" fontId="0" fillId="0" borderId="29" pivotButton="0" quotePrefix="0" xfId="0"/>
    <xf numFmtId="49" fontId="11" fillId="40" borderId="20" pivotButton="0" quotePrefix="0" xfId="0"/>
    <xf numFmtId="49" fontId="0" fillId="0" borderId="30" pivotButton="0" quotePrefix="0" xfId="0"/>
    <xf numFmtId="0" fontId="0" fillId="3" borderId="30" pivotButton="0" quotePrefix="0" xfId="0"/>
    <xf numFmtId="4" fontId="0" fillId="3" borderId="30" pivotButton="0" quotePrefix="0" xfId="0"/>
    <xf numFmtId="49" fontId="0" fillId="0" borderId="31" pivotButton="0" quotePrefix="0" xfId="0"/>
    <xf numFmtId="2" fontId="11" fillId="3" borderId="24" pivotButton="0" quotePrefix="0" xfId="0"/>
    <xf numFmtId="49" fontId="9" fillId="41" borderId="19" pivotButton="0" quotePrefix="0" xfId="0"/>
    <xf numFmtId="0" fontId="9" fillId="41" borderId="20" pivotButton="0" quotePrefix="0" xfId="0"/>
    <xf numFmtId="0" fontId="10" fillId="41" borderId="20" pivotButton="0" quotePrefix="0" xfId="0"/>
    <xf numFmtId="49" fontId="0" fillId="9" borderId="19" pivotButton="0" quotePrefix="0" xfId="0"/>
    <xf numFmtId="0" fontId="0" fillId="9" borderId="20" pivotButton="0" quotePrefix="0" xfId="0"/>
    <xf numFmtId="167" fontId="11" fillId="9" borderId="20" pivotButton="0" quotePrefix="0" xfId="0"/>
    <xf numFmtId="171" fontId="11" fillId="9" borderId="20" pivotButton="0" quotePrefix="0" xfId="0"/>
    <xf numFmtId="0" fontId="11" fillId="9" borderId="20" pivotButton="0" quotePrefix="0" xfId="0"/>
    <xf numFmtId="49" fontId="17" fillId="3" borderId="15" pivotButton="0" quotePrefix="0" xfId="0"/>
    <xf numFmtId="49" fontId="0" fillId="3" borderId="15" applyAlignment="1" pivotButton="0" quotePrefix="0" xfId="0">
      <alignment horizontal="center"/>
    </xf>
    <xf numFmtId="171" fontId="11" fillId="42" borderId="20" pivotButton="0" quotePrefix="0" xfId="0"/>
    <xf numFmtId="167" fontId="11" fillId="42" borderId="20" pivotButton="0" quotePrefix="0" xfId="0"/>
    <xf numFmtId="0" fontId="11" fillId="19" borderId="20" pivotButton="0" quotePrefix="0" xfId="0"/>
    <xf numFmtId="0" fontId="11" fillId="42" borderId="20" pivotButton="0" quotePrefix="0" xfId="0"/>
    <xf numFmtId="49" fontId="0" fillId="3" borderId="27" applyAlignment="1" pivotButton="0" quotePrefix="0" xfId="0">
      <alignment horizontal="center"/>
    </xf>
    <xf numFmtId="172" fontId="11" fillId="42" borderId="20" pivotButton="0" quotePrefix="0" xfId="0"/>
    <xf numFmtId="0" fontId="0" fillId="3" borderId="32" pivotButton="0" quotePrefix="0" xfId="0"/>
    <xf numFmtId="167" fontId="0" fillId="3" borderId="24" applyAlignment="1" pivotButton="0" quotePrefix="0" xfId="0">
      <alignment horizontal="center"/>
    </xf>
    <xf numFmtId="2" fontId="11" fillId="19" borderId="20" pivotButton="0" quotePrefix="0" xfId="0"/>
    <xf numFmtId="167" fontId="11" fillId="3" borderId="24" pivotButton="0" quotePrefix="0" xfId="0"/>
    <xf numFmtId="167" fontId="11" fillId="3" borderId="15" pivotButton="0" quotePrefix="0" xfId="0"/>
    <xf numFmtId="49" fontId="0" fillId="7" borderId="19" pivotButton="0" quotePrefix="0" xfId="0"/>
    <xf numFmtId="0" fontId="0" fillId="3" borderId="18" applyAlignment="1" pivotButton="0" quotePrefix="0" xfId="0">
      <alignment horizontal="center"/>
    </xf>
    <xf numFmtId="0" fontId="0" fillId="3" borderId="15" applyAlignment="1" pivotButton="0" quotePrefix="0" xfId="0">
      <alignment horizontal="center"/>
    </xf>
    <xf numFmtId="171" fontId="0" fillId="3" borderId="15" applyAlignment="1" pivotButton="0" quotePrefix="0" xfId="0">
      <alignment horizontal="center"/>
    </xf>
    <xf numFmtId="49" fontId="11" fillId="3" borderId="15" applyAlignment="1" pivotButton="0" quotePrefix="0" xfId="0">
      <alignment horizontal="center"/>
    </xf>
    <xf numFmtId="49" fontId="15" fillId="7" borderId="19" pivotButton="0" quotePrefix="0" xfId="0"/>
    <xf numFmtId="0" fontId="15" fillId="3" borderId="18" pivotButton="0" quotePrefix="0" xfId="0"/>
    <xf numFmtId="0" fontId="15" fillId="3" borderId="15" pivotButton="0" quotePrefix="0" xfId="0"/>
    <xf numFmtId="49" fontId="13" fillId="3" borderId="27" pivotButton="0" quotePrefix="0" xfId="0"/>
    <xf numFmtId="167" fontId="13" fillId="3" borderId="14" pivotButton="0" quotePrefix="0" xfId="0"/>
    <xf numFmtId="171" fontId="11" fillId="42" borderId="33" pivotButton="0" quotePrefix="0" xfId="0"/>
    <xf numFmtId="171" fontId="11" fillId="42" borderId="34" pivotButton="0" quotePrefix="0" xfId="0"/>
    <xf numFmtId="0" fontId="0" fillId="3" borderId="35" pivotButton="0" quotePrefix="0" xfId="0"/>
    <xf numFmtId="49" fontId="0" fillId="3" borderId="19" pivotButton="0" quotePrefix="0" xfId="0"/>
    <xf numFmtId="165" fontId="11" fillId="43" borderId="20" pivotButton="0" quotePrefix="0" xfId="0"/>
    <xf numFmtId="0" fontId="11" fillId="3" borderId="20" pivotButton="0" quotePrefix="0" xfId="0"/>
    <xf numFmtId="0" fontId="0" fillId="3" borderId="36" pivotButton="0" quotePrefix="0" xfId="0"/>
    <xf numFmtId="0" fontId="0" fillId="3" borderId="27" pivotButton="0" quotePrefix="0" xfId="0"/>
    <xf numFmtId="49" fontId="9" fillId="44" borderId="19" pivotButton="0" quotePrefix="0" xfId="0"/>
    <xf numFmtId="0" fontId="0" fillId="44" borderId="20" pivotButton="0" quotePrefix="0" xfId="0"/>
    <xf numFmtId="167" fontId="0" fillId="3" borderId="24" pivotButton="0" quotePrefix="0" xfId="0"/>
    <xf numFmtId="49" fontId="11" fillId="3" borderId="28" pivotButton="0" quotePrefix="0" xfId="0"/>
    <xf numFmtId="1" fontId="11" fillId="42" borderId="20" applyAlignment="1" pivotButton="0" quotePrefix="0" xfId="0">
      <alignment horizontal="right"/>
    </xf>
    <xf numFmtId="49" fontId="11" fillId="3" borderId="32" applyAlignment="1" pivotButton="0" quotePrefix="0" xfId="0">
      <alignment horizontal="right"/>
    </xf>
    <xf numFmtId="0" fontId="0" fillId="42" borderId="20" pivotButton="0" quotePrefix="0" xfId="0"/>
    <xf numFmtId="167" fontId="13" fillId="3" borderId="18" pivotButton="0" quotePrefix="0" xfId="0"/>
    <xf numFmtId="165" fontId="13" fillId="3" borderId="15" pivotButton="0" quotePrefix="0" xfId="0"/>
    <xf numFmtId="2" fontId="11" fillId="19" borderId="20" applyAlignment="1" pivotButton="0" quotePrefix="0" xfId="0">
      <alignment horizontal="right"/>
    </xf>
    <xf numFmtId="167" fontId="15" fillId="3" borderId="15" pivotButton="0" quotePrefix="0" xfId="0"/>
    <xf numFmtId="0" fontId="10" fillId="3" borderId="15" pivotButton="0" quotePrefix="0" xfId="0"/>
    <xf numFmtId="0" fontId="11" fillId="3" borderId="15" pivotButton="0" quotePrefix="0" xfId="0"/>
    <xf numFmtId="2" fontId="11" fillId="3" borderId="24" applyAlignment="1" pivotButton="0" quotePrefix="0" xfId="0">
      <alignment horizontal="right"/>
    </xf>
    <xf numFmtId="173" fontId="13" fillId="3" borderId="15" pivotButton="0" quotePrefix="0" xfId="0"/>
    <xf numFmtId="167" fontId="13" fillId="3" borderId="15" pivotButton="0" quotePrefix="0" xfId="0"/>
    <xf numFmtId="49" fontId="18" fillId="3" borderId="15" pivotButton="0" quotePrefix="0" xfId="0"/>
    <xf numFmtId="167" fontId="11" fillId="3" borderId="15" applyAlignment="1" pivotButton="0" quotePrefix="0" xfId="0">
      <alignment horizontal="right"/>
    </xf>
    <xf numFmtId="4" fontId="0" fillId="0" borderId="0" pivotButton="0" quotePrefix="0" xfId="0"/>
    <xf numFmtId="0" fontId="0" fillId="0" borderId="37" pivotButton="1" quotePrefix="0" xfId="0"/>
    <xf numFmtId="0" fontId="0" fillId="0" borderId="38" pivotButton="1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37" pivotButton="0" quotePrefix="0" xfId="0"/>
    <xf numFmtId="0" fontId="0" fillId="0" borderId="41" pivotButton="0" quotePrefix="0" xfId="0"/>
    <xf numFmtId="0" fontId="0" fillId="0" borderId="42" pivotButton="0" quotePrefix="0" xfId="0"/>
    <xf numFmtId="0" fontId="0" fillId="0" borderId="43" pivotButton="0" quotePrefix="0" xfId="0"/>
    <xf numFmtId="0" fontId="0" fillId="0" borderId="44" pivotButton="0" quotePrefix="0" xfId="0"/>
    <xf numFmtId="0" fontId="0" fillId="0" borderId="46" pivotButton="0" quotePrefix="0" xfId="0"/>
    <xf numFmtId="165" fontId="0" fillId="45" borderId="0" applyAlignment="1" pivotButton="0" quotePrefix="0" xfId="0">
      <alignment horizontal="left"/>
    </xf>
    <xf numFmtId="164" fontId="0" fillId="45" borderId="0" applyAlignment="1" pivotButton="0" quotePrefix="0" xfId="0">
      <alignment horizontal="left"/>
    </xf>
    <xf numFmtId="0" fontId="9" fillId="45" borderId="0" pivotButton="0" quotePrefix="0" xfId="0"/>
    <xf numFmtId="173" fontId="0" fillId="0" borderId="0" pivotButton="0" quotePrefix="0" xfId="0"/>
    <xf numFmtId="2" fontId="0" fillId="0" borderId="0" pivotButton="0" quotePrefix="0" xfId="0"/>
    <xf numFmtId="0" fontId="12" fillId="0" borderId="0" pivotButton="0" quotePrefix="0" xfId="0"/>
    <xf numFmtId="0" fontId="9" fillId="46" borderId="0" pivotButton="0" quotePrefix="0" xfId="0"/>
    <xf numFmtId="0" fontId="11" fillId="0" borderId="0" pivotButton="0" quotePrefix="0" xfId="0"/>
    <xf numFmtId="1" fontId="9" fillId="46" borderId="0" pivotButton="0" quotePrefix="0" xfId="0"/>
    <xf numFmtId="0" fontId="0" fillId="47" borderId="0" pivotButton="0" quotePrefix="0" xfId="0"/>
    <xf numFmtId="0" fontId="11" fillId="47" borderId="0" pivotButton="0" quotePrefix="0" xfId="0"/>
    <xf numFmtId="0" fontId="20" fillId="0" borderId="0" pivotButton="0" quotePrefix="0" xfId="0"/>
    <xf numFmtId="0" fontId="21" fillId="0" borderId="0" pivotButton="0" quotePrefix="0" xfId="0"/>
    <xf numFmtId="0" fontId="21" fillId="47" borderId="0" pivotButton="0" quotePrefix="0" xfId="0"/>
    <xf numFmtId="0" fontId="0" fillId="48" borderId="0" pivotButton="0" quotePrefix="0" xfId="0"/>
    <xf numFmtId="0" fontId="21" fillId="48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20" fillId="0" borderId="0" pivotButton="0" quotePrefix="0" xfId="0"/>
    <xf numFmtId="0" fontId="11" fillId="48" borderId="0" pivotButton="0" quotePrefix="0" xfId="0"/>
    <xf numFmtId="0" fontId="0" fillId="49" borderId="0" pivotButton="0" quotePrefix="0" xfId="0"/>
    <xf numFmtId="0" fontId="11" fillId="49" borderId="0" pivotButton="0" quotePrefix="0" xfId="0"/>
    <xf numFmtId="0" fontId="2" fillId="30" borderId="26" pivotButton="0" quotePrefix="0" xfId="1"/>
    <xf numFmtId="0" fontId="2" fillId="21" borderId="26" applyAlignment="1" pivotButton="0" quotePrefix="0" xfId="1">
      <alignment horizontal="left"/>
    </xf>
    <xf numFmtId="0" fontId="2" fillId="27" borderId="26" applyAlignment="1" pivotButton="0" quotePrefix="0" xfId="1">
      <alignment horizontal="left"/>
    </xf>
    <xf numFmtId="0" fontId="2" fillId="18" borderId="26" applyAlignment="1" pivotButton="0" quotePrefix="0" xfId="1">
      <alignment horizontal="left"/>
    </xf>
    <xf numFmtId="0" fontId="2" fillId="50" borderId="26" applyAlignment="1" pivotButton="0" quotePrefix="0" xfId="1">
      <alignment horizontal="left"/>
    </xf>
    <xf numFmtId="0" fontId="2" fillId="5" borderId="26" applyAlignment="1" pivotButton="0" quotePrefix="0" xfId="1">
      <alignment horizontal="left"/>
    </xf>
    <xf numFmtId="0" fontId="19" fillId="0" borderId="26" pivotButton="0" quotePrefix="0" xfId="1"/>
    <xf numFmtId="2" fontId="2" fillId="27" borderId="26" pivotButton="0" quotePrefix="0" xfId="1"/>
    <xf numFmtId="2" fontId="2" fillId="24" borderId="26" pivotButton="0" quotePrefix="0" xfId="1"/>
    <xf numFmtId="2" fontId="2" fillId="21" borderId="26" applyAlignment="1" pivotButton="0" quotePrefix="0" xfId="1">
      <alignment horizontal="left"/>
    </xf>
    <xf numFmtId="2" fontId="2" fillId="18" borderId="26" applyAlignment="1" pivotButton="0" quotePrefix="0" xfId="1">
      <alignment horizontal="left"/>
    </xf>
    <xf numFmtId="2" fontId="2" fillId="50" borderId="26" applyAlignment="1" pivotButton="0" quotePrefix="0" xfId="1">
      <alignment horizontal="left"/>
    </xf>
    <xf numFmtId="2" fontId="2" fillId="5" borderId="26" applyAlignment="1" pivotButton="0" quotePrefix="0" xfId="1">
      <alignment horizontal="left"/>
    </xf>
    <xf numFmtId="0" fontId="2" fillId="27" borderId="26" pivotButton="0" quotePrefix="0" xfId="1"/>
    <xf numFmtId="0" fontId="2" fillId="24" borderId="26" pivotButton="0" quotePrefix="0" xfId="1"/>
    <xf numFmtId="165" fontId="2" fillId="21" borderId="26" applyAlignment="1" pivotButton="0" quotePrefix="0" xfId="1">
      <alignment horizontal="left"/>
    </xf>
    <xf numFmtId="165" fontId="2" fillId="18" borderId="26" applyAlignment="1" pivotButton="0" quotePrefix="0" xfId="1">
      <alignment horizontal="left"/>
    </xf>
    <xf numFmtId="165" fontId="2" fillId="50" borderId="26" applyAlignment="1" pivotButton="0" quotePrefix="0" xfId="1">
      <alignment horizontal="left"/>
    </xf>
    <xf numFmtId="165" fontId="2" fillId="5" borderId="26" applyAlignment="1" pivotButton="0" quotePrefix="0" xfId="1">
      <alignment horizontal="left"/>
    </xf>
    <xf numFmtId="2" fontId="2" fillId="18" borderId="26" pivotButton="0" quotePrefix="0" xfId="1"/>
    <xf numFmtId="0" fontId="2" fillId="18" borderId="26" pivotButton="0" quotePrefix="0" xfId="1"/>
    <xf numFmtId="0" fontId="2" fillId="2" borderId="26" pivotButton="0" quotePrefix="0" xfId="1"/>
    <xf numFmtId="165" fontId="2" fillId="25" borderId="26" pivotButton="0" quotePrefix="0" xfId="1"/>
    <xf numFmtId="165" fontId="2" fillId="20" borderId="26" pivotButton="0" quotePrefix="0" xfId="1"/>
    <xf numFmtId="0" fontId="2" fillId="20" borderId="26" pivotButton="0" quotePrefix="0" xfId="1"/>
    <xf numFmtId="0" fontId="2" fillId="0" borderId="26" pivotButton="0" quotePrefix="0" xfId="1"/>
    <xf numFmtId="0" fontId="2" fillId="21" borderId="26" pivotButton="0" quotePrefix="0" xfId="1"/>
    <xf numFmtId="0" fontId="2" fillId="50" borderId="26" pivotButton="0" quotePrefix="0" xfId="1"/>
    <xf numFmtId="0" fontId="2" fillId="5" borderId="26" pivotButton="0" quotePrefix="0" xfId="1"/>
    <xf numFmtId="4" fontId="2" fillId="21" borderId="26" pivotButton="0" quotePrefix="0" xfId="1"/>
    <xf numFmtId="0" fontId="1" fillId="2" borderId="26" pivotButton="0" quotePrefix="0" xfId="1"/>
    <xf numFmtId="0" fontId="2" fillId="3" borderId="26" pivotButton="0" quotePrefix="0" xfId="1"/>
    <xf numFmtId="164" fontId="2" fillId="3" borderId="26" pivotButton="0" quotePrefix="0" xfId="1"/>
    <xf numFmtId="164" fontId="2" fillId="2" borderId="26" pivotButton="0" quotePrefix="0" xfId="1"/>
    <xf numFmtId="164" fontId="2" fillId="27" borderId="26" applyAlignment="1" pivotButton="0" quotePrefix="0" xfId="1">
      <alignment horizontal="left"/>
    </xf>
    <xf numFmtId="0" fontId="2" fillId="12" borderId="26" pivotButton="0" quotePrefix="0" xfId="1"/>
    <xf numFmtId="164" fontId="2" fillId="12" borderId="26" pivotButton="0" quotePrefix="0" xfId="1"/>
    <xf numFmtId="164" fontId="8" fillId="27" borderId="26" applyAlignment="1" pivotButton="0" quotePrefix="0" xfId="1">
      <alignment horizontal="left"/>
    </xf>
    <xf numFmtId="165" fontId="2" fillId="12" borderId="26" pivotButton="0" quotePrefix="0" xfId="1"/>
    <xf numFmtId="165" fontId="2" fillId="2" borderId="26" pivotButton="0" quotePrefix="0" xfId="1"/>
    <xf numFmtId="165" fontId="2" fillId="27" borderId="26" applyAlignment="1" pivotButton="0" quotePrefix="0" xfId="1">
      <alignment horizontal="left"/>
    </xf>
    <xf numFmtId="0" fontId="2" fillId="13" borderId="26" pivotButton="0" quotePrefix="0" xfId="1"/>
    <xf numFmtId="164" fontId="2" fillId="13" borderId="26" pivotButton="0" quotePrefix="0" xfId="1"/>
    <xf numFmtId="165" fontId="2" fillId="13" borderId="26" pivotButton="0" quotePrefix="0" xfId="1"/>
    <xf numFmtId="0" fontId="2" fillId="14" borderId="26" pivotButton="0" quotePrefix="0" xfId="1"/>
    <xf numFmtId="164" fontId="2" fillId="14" borderId="26" pivotButton="0" quotePrefix="0" xfId="1"/>
    <xf numFmtId="165" fontId="2" fillId="14" borderId="26" pivotButton="0" quotePrefix="0" xfId="1"/>
    <xf numFmtId="165" fontId="2" fillId="3" borderId="26" pivotButton="0" quotePrefix="0" xfId="1"/>
    <xf numFmtId="165" fontId="2" fillId="3" borderId="26" applyAlignment="1" pivotButton="0" quotePrefix="0" xfId="1">
      <alignment horizontal="left"/>
    </xf>
    <xf numFmtId="0" fontId="22" fillId="0" borderId="0" pivotButton="0" quotePrefix="0" xfId="0"/>
    <xf numFmtId="0" fontId="23" fillId="0" borderId="0" pivotButton="0" quotePrefix="0" xfId="0"/>
    <xf numFmtId="0" fontId="24" fillId="51" borderId="0" pivotButton="0" quotePrefix="0" xfId="0"/>
    <xf numFmtId="0" fontId="0" fillId="51" borderId="0" pivotButton="0" quotePrefix="0" xfId="0"/>
    <xf numFmtId="1" fontId="0" fillId="0" borderId="0" pivotButton="0" quotePrefix="0" xfId="0"/>
    <xf numFmtId="0" fontId="11" fillId="52" borderId="0" pivotButton="0" quotePrefix="0" xfId="0"/>
    <xf numFmtId="2" fontId="11" fillId="0" borderId="0" pivotButton="0" quotePrefix="0" xfId="0"/>
    <xf numFmtId="2" fontId="11" fillId="52" borderId="0" pivotButton="0" quotePrefix="0" xfId="0"/>
    <xf numFmtId="1" fontId="11" fillId="52" borderId="0" pivotButton="0" quotePrefix="0" xfId="0"/>
    <xf numFmtId="0" fontId="25" fillId="0" borderId="0" pivotButton="0" quotePrefix="0" xfId="0"/>
    <xf numFmtId="0" fontId="26" fillId="0" borderId="0" pivotButton="0" quotePrefix="0" xfId="0"/>
    <xf numFmtId="174" fontId="0" fillId="0" borderId="0" pivotButton="0" quotePrefix="0" xfId="0"/>
    <xf numFmtId="175" fontId="0" fillId="0" borderId="0" pivotButton="0" quotePrefix="0" xfId="0"/>
    <xf numFmtId="0" fontId="27" fillId="0" borderId="0" pivotButton="0" quotePrefix="0" xfId="0"/>
    <xf numFmtId="165" fontId="20" fillId="52" borderId="0" pivotButton="0" quotePrefix="0" xfId="0"/>
    <xf numFmtId="0" fontId="0" fillId="52" borderId="0" pivotButton="0" quotePrefix="0" xfId="0"/>
    <xf numFmtId="165" fontId="0" fillId="52" borderId="0" pivotButton="0" quotePrefix="0" xfId="0"/>
    <xf numFmtId="174" fontId="0" fillId="52" borderId="0" pivotButton="0" quotePrefix="0" xfId="0"/>
    <xf numFmtId="175" fontId="0" fillId="52" borderId="0" pivotButton="0" quotePrefix="0" xfId="0"/>
    <xf numFmtId="0" fontId="28" fillId="52" borderId="0" pivotButton="0" quotePrefix="0" xfId="0"/>
    <xf numFmtId="0" fontId="29" fillId="0" borderId="0" pivotButton="0" quotePrefix="0" xfId="0"/>
    <xf numFmtId="167" fontId="20" fillId="0" borderId="0" pivotButton="0" quotePrefix="0" xfId="0"/>
    <xf numFmtId="0" fontId="30" fillId="0" borderId="0" pivotButton="0" quotePrefix="0" xfId="0"/>
    <xf numFmtId="0" fontId="31" fillId="0" borderId="0" pivotButton="0" quotePrefix="0" xfId="0"/>
    <xf numFmtId="0" fontId="33" fillId="0" borderId="0" pivotButton="0" quotePrefix="0" xfId="0"/>
    <xf numFmtId="0" fontId="21" fillId="53" borderId="0" pivotButton="0" quotePrefix="0" xfId="0"/>
    <xf numFmtId="0" fontId="34" fillId="0" borderId="0" pivotButton="0" quotePrefix="0" xfId="0"/>
    <xf numFmtId="0" fontId="36" fillId="0" borderId="0" pivotButton="0" quotePrefix="0" xfId="0"/>
    <xf numFmtId="0" fontId="20" fillId="53" borderId="0" pivotButton="0" quotePrefix="0" xfId="0"/>
    <xf numFmtId="164" fontId="20" fillId="53" borderId="0" pivotButton="0" quotePrefix="0" xfId="0"/>
    <xf numFmtId="0" fontId="11" fillId="0" borderId="49" pivotButton="0" quotePrefix="0" xfId="0"/>
    <xf numFmtId="0" fontId="0" fillId="0" borderId="49" pivotButton="0" quotePrefix="0" xfId="0"/>
    <xf numFmtId="0" fontId="0" fillId="0" borderId="50" pivotButton="0" quotePrefix="0" xfId="0"/>
    <xf numFmtId="2" fontId="0" fillId="0" borderId="50" pivotButton="0" quotePrefix="0" xfId="0"/>
    <xf numFmtId="164" fontId="20" fillId="53" borderId="50" pivotButton="0" quotePrefix="0" xfId="0"/>
    <xf numFmtId="176" fontId="0" fillId="0" borderId="50" pivotButton="0" quotePrefix="0" xfId="0"/>
    <xf numFmtId="0" fontId="0" fillId="0" borderId="51" pivotButton="0" quotePrefix="0" xfId="0"/>
    <xf numFmtId="2" fontId="0" fillId="0" borderId="51" pivotButton="0" quotePrefix="0" xfId="0"/>
    <xf numFmtId="164" fontId="20" fillId="53" borderId="51" pivotButton="0" quotePrefix="0" xfId="0"/>
    <xf numFmtId="176" fontId="0" fillId="0" borderId="51" pivotButton="0" quotePrefix="0" xfId="0"/>
    <xf numFmtId="0" fontId="9" fillId="54" borderId="53" pivotButton="0" quotePrefix="0" xfId="0"/>
    <xf numFmtId="0" fontId="9" fillId="54" borderId="54" pivotButton="0" quotePrefix="0" xfId="0"/>
    <xf numFmtId="0" fontId="11" fillId="0" borderId="55" pivotButton="0" quotePrefix="0" xfId="0"/>
    <xf numFmtId="0" fontId="11" fillId="0" borderId="56" pivotButton="0" quotePrefix="0" xfId="0"/>
    <xf numFmtId="0" fontId="9" fillId="54" borderId="57" pivotButton="0" quotePrefix="0" xfId="0"/>
    <xf numFmtId="0" fontId="0" fillId="0" borderId="58" pivotButton="0" quotePrefix="0" xfId="0"/>
    <xf numFmtId="0" fontId="0" fillId="0" borderId="59" pivotButton="0" quotePrefix="0" xfId="0"/>
    <xf numFmtId="0" fontId="21" fillId="53" borderId="49" pivotButton="0" quotePrefix="0" xfId="0"/>
    <xf numFmtId="164" fontId="21" fillId="53" borderId="49" pivotButton="0" quotePrefix="0" xfId="0"/>
    <xf numFmtId="1" fontId="21" fillId="53" borderId="49" pivotButton="0" quotePrefix="0" xfId="0"/>
    <xf numFmtId="0" fontId="33" fillId="0" borderId="49" pivotButton="0" quotePrefix="0" xfId="0"/>
    <xf numFmtId="2" fontId="11" fillId="0" borderId="49" pivotButton="0" quotePrefix="0" xfId="0"/>
    <xf numFmtId="0" fontId="35" fillId="0" borderId="49" pivotButton="0" quotePrefix="0" xfId="0"/>
    <xf numFmtId="176" fontId="35" fillId="0" borderId="49" pivotButton="0" quotePrefix="0" xfId="0"/>
    <xf numFmtId="177" fontId="11" fillId="0" borderId="49" pivotButton="0" quotePrefix="0" xfId="0"/>
    <xf numFmtId="0" fontId="11" fillId="0" borderId="52" pivotButton="0" quotePrefix="0" xfId="0"/>
    <xf numFmtId="0" fontId="33" fillId="0" borderId="60" pivotButton="0" quotePrefix="0" xfId="0"/>
    <xf numFmtId="0" fontId="0" fillId="0" borderId="60" pivotButton="0" quotePrefix="0" xfId="0"/>
    <xf numFmtId="0" fontId="11" fillId="55" borderId="0" pivotButton="0" quotePrefix="0" xfId="0"/>
    <xf numFmtId="0" fontId="0" fillId="55" borderId="0" pivotButton="0" quotePrefix="0" xfId="0"/>
    <xf numFmtId="165" fontId="20" fillId="53" borderId="0" pivotButton="0" quotePrefix="0" xfId="0"/>
    <xf numFmtId="0" fontId="37" fillId="0" borderId="0" pivotButton="0" quotePrefix="0" xfId="0"/>
    <xf numFmtId="0" fontId="38" fillId="0" borderId="0" pivotButton="0" quotePrefix="0" xfId="0"/>
    <xf numFmtId="0" fontId="25" fillId="56" borderId="0" pivotButton="0" quotePrefix="0" xfId="0"/>
    <xf numFmtId="0" fontId="25" fillId="49" borderId="0" pivotButton="0" quotePrefix="0" xfId="0"/>
    <xf numFmtId="0" fontId="25" fillId="53" borderId="0" pivotButton="0" quotePrefix="0" xfId="0"/>
    <xf numFmtId="0" fontId="25" fillId="48" borderId="0" pivotButton="0" quotePrefix="0" xfId="0"/>
    <xf numFmtId="0" fontId="25" fillId="57" borderId="0" pivotButton="0" quotePrefix="0" xfId="0"/>
    <xf numFmtId="0" fontId="11" fillId="58" borderId="0" pivotButton="0" quotePrefix="0" xfId="0"/>
    <xf numFmtId="0" fontId="0" fillId="58" borderId="0" pivotButton="0" quotePrefix="0" xfId="0"/>
    <xf numFmtId="0" fontId="0" fillId="56" borderId="0" pivotButton="0" quotePrefix="0" xfId="0"/>
    <xf numFmtId="0" fontId="11" fillId="56" borderId="0" pivotButton="0" quotePrefix="0" xfId="0"/>
    <xf numFmtId="0" fontId="0" fillId="53" borderId="0" pivotButton="0" quotePrefix="0" xfId="0"/>
    <xf numFmtId="0" fontId="11" fillId="53" borderId="0" pivotButton="0" quotePrefix="0" xfId="0"/>
    <xf numFmtId="0" fontId="0" fillId="57" borderId="0" pivotButton="0" quotePrefix="0" xfId="0"/>
    <xf numFmtId="0" fontId="0" fillId="59" borderId="0" applyAlignment="1" pivotButton="0" quotePrefix="0" xfId="0">
      <alignment horizontal="center"/>
    </xf>
    <xf numFmtId="165" fontId="20" fillId="60" borderId="0" pivotButton="0" quotePrefix="0" xfId="0"/>
    <xf numFmtId="165" fontId="0" fillId="48" borderId="0" pivotButton="0" quotePrefix="0" xfId="0"/>
    <xf numFmtId="0" fontId="25" fillId="61" borderId="0" pivotButton="0" quotePrefix="0" xfId="0"/>
    <xf numFmtId="0" fontId="25" fillId="62" borderId="0" pivotButton="0" quotePrefix="0" xfId="0"/>
    <xf numFmtId="0" fontId="25" fillId="63" borderId="0" pivotButton="0" quotePrefix="0" xfId="0"/>
    <xf numFmtId="0" fontId="25" fillId="64" borderId="0" pivotButton="0" quotePrefix="0" xfId="0"/>
    <xf numFmtId="0" fontId="40" fillId="0" borderId="0" pivotButton="0" quotePrefix="0" xfId="0"/>
    <xf numFmtId="0" fontId="42" fillId="0" borderId="0" pivotButton="0" quotePrefix="0" xfId="0"/>
    <xf numFmtId="0" fontId="44" fillId="0" borderId="0" pivotButton="0" quotePrefix="0" xfId="0"/>
    <xf numFmtId="0" fontId="11" fillId="59" borderId="0" applyAlignment="1" pivotButton="0" quotePrefix="0" xfId="0">
      <alignment horizontal="center"/>
    </xf>
    <xf numFmtId="165" fontId="0" fillId="56" borderId="0" pivotButton="0" quotePrefix="0" xfId="0"/>
    <xf numFmtId="164" fontId="0" fillId="56" borderId="0" pivotButton="0" quotePrefix="0" xfId="0"/>
    <xf numFmtId="164" fontId="0" fillId="49" borderId="0" pivotButton="0" quotePrefix="0" xfId="0"/>
    <xf numFmtId="165" fontId="0" fillId="49" borderId="0" pivotButton="0" quotePrefix="0" xfId="0"/>
    <xf numFmtId="0" fontId="0" fillId="0" borderId="0" applyAlignment="1" pivotButton="0" quotePrefix="0" xfId="0">
      <alignment horizontal="center"/>
    </xf>
    <xf numFmtId="0" fontId="32" fillId="53" borderId="0" applyAlignment="1" pivotButton="0" quotePrefix="0" xfId="0">
      <alignment horizontal="center"/>
    </xf>
    <xf numFmtId="0" fontId="39" fillId="53" borderId="0" applyAlignment="1" pivotButton="0" quotePrefix="0" xfId="0">
      <alignment horizontal="center"/>
    </xf>
    <xf numFmtId="0" fontId="41" fillId="53" borderId="0" applyAlignment="1" pivotButton="0" quotePrefix="0" xfId="0">
      <alignment horizontal="center"/>
    </xf>
    <xf numFmtId="0" fontId="43" fillId="53" borderId="0" applyAlignment="1" pivotButton="0" quotePrefix="0" xfId="0">
      <alignment horizontal="center"/>
    </xf>
    <xf numFmtId="165" fontId="0" fillId="65" borderId="0" pivotButton="0" quotePrefix="0" xfId="0"/>
    <xf numFmtId="0" fontId="0" fillId="62" borderId="0" pivotButton="0" quotePrefix="0" xfId="0"/>
    <xf numFmtId="0" fontId="36" fillId="45" borderId="0" pivotButton="0" quotePrefix="0" xfId="0"/>
    <xf numFmtId="0" fontId="11" fillId="0" borderId="0" applyAlignment="1" pivotButton="0" quotePrefix="0" xfId="0">
      <alignment horizontal="center"/>
    </xf>
    <xf numFmtId="0" fontId="11" fillId="66" borderId="0" applyAlignment="1" pivotButton="0" quotePrefix="0" xfId="0">
      <alignment horizontal="center"/>
    </xf>
    <xf numFmtId="0" fontId="0" fillId="66" borderId="0" applyAlignment="1" pivotButton="0" quotePrefix="0" xfId="0">
      <alignment horizontal="center"/>
    </xf>
    <xf numFmtId="164" fontId="20" fillId="0" borderId="0" pivotButton="0" quotePrefix="0" xfId="0"/>
    <xf numFmtId="0" fontId="33" fillId="66" borderId="0" pivotButton="0" quotePrefix="0" xfId="0"/>
    <xf numFmtId="0" fontId="45" fillId="66" borderId="0" pivotButton="0" quotePrefix="0" xfId="0"/>
    <xf numFmtId="0" fontId="25" fillId="67" borderId="0" pivotButton="0" quotePrefix="0" xfId="0"/>
    <xf numFmtId="0" fontId="46" fillId="0" borderId="0" pivotButton="0" quotePrefix="0" xfId="0"/>
    <xf numFmtId="165" fontId="0" fillId="67" borderId="0" pivotButton="0" quotePrefix="0" xfId="0"/>
    <xf numFmtId="0" fontId="0" fillId="67" borderId="0" pivotButton="0" quotePrefix="0" xfId="0"/>
    <xf numFmtId="0" fontId="47" fillId="67" borderId="0" pivotButton="0" quotePrefix="0" xfId="0"/>
    <xf numFmtId="165" fontId="0" fillId="61" borderId="0" pivotButton="0" quotePrefix="0" xfId="0"/>
    <xf numFmtId="0" fontId="0" fillId="61" borderId="0" pivotButton="0" quotePrefix="0" xfId="0"/>
    <xf numFmtId="0" fontId="47" fillId="61" borderId="0" pivotButton="0" quotePrefix="0" xfId="0"/>
    <xf numFmtId="167" fontId="0" fillId="0" borderId="0" pivotButton="0" quotePrefix="0" xfId="0"/>
    <xf numFmtId="167" fontId="0" fillId="57" borderId="0" pivotButton="0" quotePrefix="0" xfId="0"/>
    <xf numFmtId="165" fontId="0" fillId="57" borderId="0" pivotButton="0" quotePrefix="0" xfId="0"/>
    <xf numFmtId="178" fontId="0" fillId="57" borderId="0" pivotButton="0" quotePrefix="0" xfId="0"/>
    <xf numFmtId="0" fontId="11" fillId="68" borderId="0" pivotButton="0" quotePrefix="0" xfId="0"/>
    <xf numFmtId="0" fontId="11" fillId="69" borderId="0" pivotButton="0" quotePrefix="0" xfId="0"/>
    <xf numFmtId="0" fontId="46" fillId="59" borderId="0" applyAlignment="1" pivotButton="0" quotePrefix="0" xfId="0">
      <alignment horizontal="center"/>
    </xf>
    <xf numFmtId="0" fontId="47" fillId="0" borderId="0" pivotButton="0" quotePrefix="0" xfId="0"/>
    <xf numFmtId="0" fontId="0" fillId="68" borderId="0" pivotButton="0" quotePrefix="0" xfId="0"/>
    <xf numFmtId="165" fontId="0" fillId="68" borderId="0" pivotButton="0" quotePrefix="0" xfId="0"/>
    <xf numFmtId="0" fontId="0" fillId="69" borderId="0" pivotButton="0" quotePrefix="0" xfId="0"/>
    <xf numFmtId="165" fontId="0" fillId="69" borderId="0" pivotButton="0" quotePrefix="0" xfId="0"/>
    <xf numFmtId="0" fontId="35" fillId="67" borderId="0" pivotButton="0" quotePrefix="0" xfId="0"/>
    <xf numFmtId="0" fontId="48" fillId="0" borderId="0" pivotButton="0" quotePrefix="0" xfId="0"/>
    <xf numFmtId="3" fontId="0" fillId="0" borderId="0" pivotButton="0" quotePrefix="0" xfId="0"/>
    <xf numFmtId="0" fontId="35" fillId="57" borderId="0" pivotButton="0" quotePrefix="0" xfId="0"/>
    <xf numFmtId="0" fontId="49" fillId="49" borderId="0" pivotButton="0" quotePrefix="0" xfId="0"/>
    <xf numFmtId="2" fontId="0" fillId="52" borderId="0" pivotButton="0" quotePrefix="0" xfId="0"/>
    <xf numFmtId="164" fontId="0" fillId="52" borderId="0" pivotButton="0" quotePrefix="0" xfId="0"/>
    <xf numFmtId="0" fontId="35" fillId="62" borderId="0" pivotButton="0" quotePrefix="0" xfId="0"/>
    <xf numFmtId="0" fontId="35" fillId="64" borderId="0" pivotButton="0" quotePrefix="0" xfId="0"/>
    <xf numFmtId="0" fontId="50" fillId="0" borderId="0" pivotButton="0" quotePrefix="0" xfId="0"/>
    <xf numFmtId="0" fontId="11" fillId="49" borderId="0" applyAlignment="1" pivotButton="0" quotePrefix="0" xfId="0">
      <alignment wrapText="1"/>
    </xf>
    <xf numFmtId="0" fontId="49" fillId="49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11" fillId="48" borderId="0" applyAlignment="1" pivotButton="0" quotePrefix="0" xfId="0">
      <alignment wrapText="1"/>
    </xf>
    <xf numFmtId="0" fontId="0" fillId="0" borderId="0" applyAlignment="1" pivotButton="0" quotePrefix="0" xfId="0">
      <alignment horizontal="center" wrapText="1"/>
    </xf>
    <xf numFmtId="1" fontId="0" fillId="52" borderId="0" pivotButton="0" quotePrefix="0" xfId="0"/>
    <xf numFmtId="0" fontId="11" fillId="0" borderId="0" applyAlignment="1" pivotButton="0" quotePrefix="0" xfId="0">
      <alignment wrapText="1"/>
    </xf>
    <xf numFmtId="2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3" fontId="20" fillId="53" borderId="0" pivotButton="0" quotePrefix="0" xfId="0"/>
    <xf numFmtId="0" fontId="11" fillId="67" borderId="0" applyAlignment="1" pivotButton="0" quotePrefix="0" xfId="0">
      <alignment horizontal="center"/>
    </xf>
    <xf numFmtId="0" fontId="11" fillId="53" borderId="0" applyAlignment="1" pivotButton="0" quotePrefix="0" xfId="0">
      <alignment horizontal="center"/>
    </xf>
    <xf numFmtId="0" fontId="11" fillId="70" borderId="0" pivotButton="0" quotePrefix="0" xfId="0"/>
    <xf numFmtId="0" fontId="11" fillId="70" borderId="0" applyAlignment="1" pivotButton="0" quotePrefix="0" xfId="0">
      <alignment horizontal="center"/>
    </xf>
    <xf numFmtId="0" fontId="51" fillId="48" borderId="0" pivotButton="0" quotePrefix="0" xfId="0"/>
    <xf numFmtId="0" fontId="51" fillId="53" borderId="0" pivotButton="0" quotePrefix="0" xfId="0"/>
    <xf numFmtId="0" fontId="51" fillId="70" borderId="0" pivotButton="0" quotePrefix="0" xfId="0"/>
    <xf numFmtId="165" fontId="0" fillId="53" borderId="0" pivotButton="0" quotePrefix="0" xfId="0"/>
    <xf numFmtId="0" fontId="0" fillId="70" borderId="0" pivotButton="0" quotePrefix="0" xfId="0"/>
    <xf numFmtId="0" fontId="37" fillId="0" borderId="0" pivotButton="0" quotePrefix="1" xfId="0"/>
    <xf numFmtId="0" fontId="38" fillId="0" borderId="0" pivotButton="0" quotePrefix="1" xfId="0"/>
    <xf numFmtId="0" fontId="52" fillId="0" borderId="0" pivotButton="0" quotePrefix="0" xfId="0"/>
    <xf numFmtId="0" fontId="35" fillId="48" borderId="0" pivotButton="0" quotePrefix="0" xfId="0"/>
    <xf numFmtId="0" fontId="53" fillId="0" borderId="0" pivotButton="0" quotePrefix="0" xfId="0"/>
    <xf numFmtId="168" fontId="0" fillId="0" borderId="0" pivotButton="0" quotePrefix="0" xfId="0"/>
    <xf numFmtId="16" fontId="0" fillId="0" borderId="0" pivotButton="0" quotePrefix="0" xfId="0"/>
    <xf numFmtId="16" fontId="20" fillId="53" borderId="0" pivotButton="0" quotePrefix="0" xfId="0"/>
    <xf numFmtId="168" fontId="11" fillId="0" borderId="0" pivotButton="0" quotePrefix="0" xfId="0"/>
    <xf numFmtId="0" fontId="11" fillId="57" borderId="0" pivotButton="0" quotePrefix="0" xfId="0"/>
    <xf numFmtId="0" fontId="35" fillId="53" borderId="0" pivotButton="0" quotePrefix="0" xfId="0"/>
    <xf numFmtId="0" fontId="11" fillId="65" borderId="0" pivotButton="0" quotePrefix="0" xfId="0"/>
    <xf numFmtId="178" fontId="20" fillId="53" borderId="0" pivotButton="0" quotePrefix="0" xfId="0"/>
    <xf numFmtId="179" fontId="0" fillId="0" borderId="0" pivotButton="0" quotePrefix="0" xfId="0"/>
    <xf numFmtId="0" fontId="54" fillId="0" borderId="0" pivotButton="0" quotePrefix="0" xfId="0"/>
    <xf numFmtId="0" fontId="55" fillId="0" borderId="0" pivotButton="0" quotePrefix="0" xfId="0"/>
    <xf numFmtId="167" fontId="0" fillId="52" borderId="0" pivotButton="0" quotePrefix="0" xfId="0"/>
    <xf numFmtId="179" fontId="0" fillId="52" borderId="0" pivotButton="0" quotePrefix="0" xfId="0"/>
    <xf numFmtId="164" fontId="11" fillId="0" borderId="0" pivotButton="0" quotePrefix="0" xfId="0"/>
    <xf numFmtId="0" fontId="56" fillId="0" borderId="0" pivotButton="0" quotePrefix="0" xfId="0"/>
    <xf numFmtId="0" fontId="35" fillId="61" borderId="0" pivotButton="0" quotePrefix="0" xfId="0"/>
    <xf numFmtId="180" fontId="0" fillId="0" borderId="0" pivotButton="0" quotePrefix="0" xfId="0"/>
    <xf numFmtId="181" fontId="0" fillId="0" borderId="0" pivotButton="0" quotePrefix="0" xfId="0"/>
    <xf numFmtId="0" fontId="59" fillId="0" borderId="0" pivotButton="0" quotePrefix="0" xfId="0"/>
    <xf numFmtId="0" fontId="11" fillId="61" borderId="0" pivotButton="0" quotePrefix="0" xfId="0"/>
    <xf numFmtId="0" fontId="21" fillId="49" borderId="0" pivotButton="0" quotePrefix="0" xfId="0"/>
    <xf numFmtId="2" fontId="20" fillId="53" borderId="0" pivotButton="0" quotePrefix="0" xfId="0"/>
    <xf numFmtId="0" fontId="60" fillId="0" borderId="0" pivotButton="0" quotePrefix="0" xfId="0"/>
    <xf numFmtId="0" fontId="61" fillId="0" borderId="0" pivotButton="0" quotePrefix="0" xfId="0"/>
    <xf numFmtId="0" fontId="35" fillId="49" borderId="0" pivotButton="0" quotePrefix="0" xfId="0"/>
    <xf numFmtId="0" fontId="62" fillId="0" borderId="0" pivotButton="0" quotePrefix="0" xfId="0"/>
    <xf numFmtId="0" fontId="11" fillId="49" borderId="0" pivotButton="0" quotePrefix="1" xfId="0"/>
    <xf numFmtId="0" fontId="11" fillId="71" borderId="0" pivotButton="0" quotePrefix="0" xfId="0"/>
    <xf numFmtId="0" fontId="11" fillId="72" borderId="0" pivotButton="0" quotePrefix="0" xfId="0"/>
    <xf numFmtId="0" fontId="11" fillId="73" borderId="0" pivotButton="0" quotePrefix="0" xfId="0"/>
    <xf numFmtId="2" fontId="0" fillId="62" borderId="0" pivotButton="0" quotePrefix="0" xfId="0"/>
    <xf numFmtId="2" fontId="0" fillId="49" borderId="0" pivotButton="0" quotePrefix="0" xfId="0"/>
    <xf numFmtId="165" fontId="11" fillId="0" borderId="0" pivotButton="0" quotePrefix="0" xfId="0"/>
    <xf numFmtId="2" fontId="11" fillId="62" borderId="0" pivotButton="0" quotePrefix="0" xfId="0"/>
    <xf numFmtId="2" fontId="11" fillId="49" borderId="0" pivotButton="0" quotePrefix="0" xfId="0"/>
    <xf numFmtId="2" fontId="0" fillId="56" borderId="0" pivotButton="0" quotePrefix="0" xfId="0"/>
    <xf numFmtId="164" fontId="20" fillId="49" borderId="0" pivotButton="0" quotePrefix="0" xfId="0"/>
    <xf numFmtId="2" fontId="0" fillId="53" borderId="0" pivotButton="0" quotePrefix="0" xfId="0"/>
    <xf numFmtId="0" fontId="63" fillId="0" borderId="0" pivotButton="0" quotePrefix="0" xfId="0"/>
    <xf numFmtId="0" fontId="64" fillId="0" borderId="0" pivotButton="0" quotePrefix="0" xfId="0"/>
    <xf numFmtId="0" fontId="65" fillId="0" borderId="0" pivotButton="0" quotePrefix="0" xfId="0"/>
    <xf numFmtId="0" fontId="66" fillId="46" borderId="0" pivotButton="0" quotePrefix="0" xfId="0"/>
    <xf numFmtId="0" fontId="0" fillId="46" borderId="0" pivotButton="0" quotePrefix="0" xfId="0"/>
    <xf numFmtId="1" fontId="20" fillId="53" borderId="0" pivotButton="0" quotePrefix="0" xfId="0"/>
    <xf numFmtId="0" fontId="66" fillId="74" borderId="0" pivotButton="0" quotePrefix="0" xfId="0"/>
    <xf numFmtId="0" fontId="0" fillId="74" borderId="0" pivotButton="0" quotePrefix="0" xfId="0"/>
    <xf numFmtId="0" fontId="67" fillId="0" borderId="0" pivotButton="0" quotePrefix="0" xfId="0"/>
    <xf numFmtId="164" fontId="67" fillId="0" borderId="0" pivotButton="0" quotePrefix="0" xfId="0"/>
    <xf numFmtId="1" fontId="11" fillId="0" borderId="0" pivotButton="0" quotePrefix="0" xfId="0"/>
    <xf numFmtId="0" fontId="66" fillId="75" borderId="0" pivotButton="0" quotePrefix="0" xfId="0"/>
    <xf numFmtId="0" fontId="0" fillId="75" borderId="0" pivotButton="0" quotePrefix="0" xfId="0"/>
    <xf numFmtId="0" fontId="66" fillId="76" borderId="0" pivotButton="0" quotePrefix="0" xfId="0"/>
    <xf numFmtId="0" fontId="0" fillId="76" borderId="0" pivotButton="0" quotePrefix="0" xfId="0"/>
    <xf numFmtId="0" fontId="66" fillId="77" borderId="0" pivotButton="0" quotePrefix="0" xfId="0"/>
    <xf numFmtId="0" fontId="0" fillId="77" borderId="0" pivotButton="0" quotePrefix="0" xfId="0"/>
    <xf numFmtId="0" fontId="66" fillId="78" borderId="0" pivotButton="0" quotePrefix="0" xfId="0"/>
    <xf numFmtId="0" fontId="0" fillId="78" borderId="0" pivotButton="0" quotePrefix="0" xfId="0"/>
    <xf numFmtId="0" fontId="66" fillId="79" borderId="0" pivotButton="0" quotePrefix="0" xfId="0"/>
    <xf numFmtId="0" fontId="0" fillId="79" borderId="0" pivotButton="0" quotePrefix="0" xfId="0"/>
    <xf numFmtId="0" fontId="35" fillId="0" borderId="0" pivotButton="0" quotePrefix="0" xfId="0"/>
    <xf numFmtId="0" fontId="35" fillId="80" borderId="0" pivotButton="0" quotePrefix="0" xfId="0"/>
    <xf numFmtId="179" fontId="68" fillId="49" borderId="0" pivotButton="0" quotePrefix="0" xfId="0"/>
    <xf numFmtId="0" fontId="69" fillId="0" borderId="0" pivotButton="0" quotePrefix="0" xfId="0"/>
    <xf numFmtId="0" fontId="71" fillId="47" borderId="0" pivotButton="0" quotePrefix="0" xfId="0"/>
    <xf numFmtId="0" fontId="70" fillId="0" borderId="0" pivotButton="0" quotePrefix="0" xfId="0"/>
    <xf numFmtId="0" fontId="0" fillId="0" borderId="0" pivotButton="0" quotePrefix="1" xfId="0"/>
    <xf numFmtId="0" fontId="72" fillId="0" borderId="0" pivotButton="0" quotePrefix="0" xfId="0"/>
    <xf numFmtId="179" fontId="73" fillId="49" borderId="0" pivotButton="0" quotePrefix="0" xfId="0"/>
    <xf numFmtId="0" fontId="74" fillId="0" borderId="0" pivotButton="0" quotePrefix="0" xfId="0"/>
    <xf numFmtId="0" fontId="75" fillId="0" borderId="0" pivotButton="0" quotePrefix="0" xfId="0"/>
    <xf numFmtId="0" fontId="66" fillId="81" borderId="0" pivotButton="0" quotePrefix="0" xfId="0"/>
    <xf numFmtId="0" fontId="0" fillId="81" borderId="0" pivotButton="0" quotePrefix="0" xfId="0"/>
    <xf numFmtId="14" fontId="0" fillId="0" borderId="0" pivotButton="0" quotePrefix="0" xfId="0"/>
    <xf numFmtId="20" fontId="0" fillId="0" borderId="0" pivotButton="0" quotePrefix="0" xfId="0"/>
    <xf numFmtId="0" fontId="11" fillId="82" borderId="0" pivotButton="0" quotePrefix="0" xfId="0"/>
    <xf numFmtId="3" fontId="21" fillId="53" borderId="0" pivotButton="0" quotePrefix="0" xfId="0"/>
    <xf numFmtId="0" fontId="76" fillId="0" borderId="0" pivotButton="0" quotePrefix="0" xfId="0"/>
    <xf numFmtId="182" fontId="0" fillId="0" borderId="0" pivotButton="0" quotePrefix="0" xfId="0"/>
    <xf numFmtId="183" fontId="0" fillId="0" borderId="0" pivotButton="0" quotePrefix="0" xfId="0"/>
    <xf numFmtId="0" fontId="35" fillId="63" borderId="0" pivotButton="0" quotePrefix="0" xfId="0"/>
    <xf numFmtId="11" fontId="20" fillId="53" borderId="0" pivotButton="0" quotePrefix="0" xfId="0"/>
    <xf numFmtId="178" fontId="0" fillId="0" borderId="0" pivotButton="0" quotePrefix="0" xfId="0"/>
    <xf numFmtId="184" fontId="0" fillId="0" borderId="0" pivotButton="0" quotePrefix="0" xfId="0"/>
    <xf numFmtId="185" fontId="0" fillId="0" borderId="0" pivotButton="0" quotePrefix="0" xfId="0"/>
    <xf numFmtId="167" fontId="20" fillId="53" borderId="0" pivotButton="0" quotePrefix="0" xfId="0"/>
    <xf numFmtId="0" fontId="35" fillId="84" borderId="0" pivotButton="0" quotePrefix="0" xfId="0"/>
    <xf numFmtId="0" fontId="66" fillId="85" borderId="0" pivotButton="0" quotePrefix="0" xfId="0"/>
    <xf numFmtId="0" fontId="0" fillId="85" borderId="0" pivotButton="0" quotePrefix="0" xfId="0"/>
    <xf numFmtId="9" fontId="20" fillId="53" borderId="0" pivotButton="0" quotePrefix="0" xfId="0"/>
    <xf numFmtId="0" fontId="66" fillId="54" borderId="0" pivotButton="0" quotePrefix="0" xfId="0"/>
    <xf numFmtId="0" fontId="0" fillId="54" borderId="0" pivotButton="0" quotePrefix="0" xfId="0"/>
    <xf numFmtId="0" fontId="77" fillId="46" borderId="0" pivotButton="0" quotePrefix="0" xfId="0"/>
    <xf numFmtId="0" fontId="71" fillId="0" borderId="0" pivotButton="0" quotePrefix="0" xfId="0"/>
    <xf numFmtId="0" fontId="71" fillId="49" borderId="0" pivotButton="0" quotePrefix="0" xfId="0"/>
    <xf numFmtId="0" fontId="77" fillId="74" borderId="0" pivotButton="0" quotePrefix="0" xfId="0"/>
    <xf numFmtId="0" fontId="71" fillId="48" borderId="0" pivotButton="0" quotePrefix="0" xfId="0"/>
    <xf numFmtId="0" fontId="78" fillId="0" borderId="0" pivotButton="0" quotePrefix="0" xfId="0"/>
    <xf numFmtId="0" fontId="79" fillId="0" borderId="0" pivotButton="0" quotePrefix="0" xfId="0"/>
    <xf numFmtId="49" fontId="21" fillId="47" borderId="0" pivotButton="0" quotePrefix="0" xfId="0"/>
    <xf numFmtId="0" fontId="66" fillId="86" borderId="0" pivotButton="0" quotePrefix="0" xfId="0"/>
    <xf numFmtId="0" fontId="0" fillId="86" borderId="0" pivotButton="0" quotePrefix="0" xfId="0"/>
    <xf numFmtId="0" fontId="0" fillId="84" borderId="0" pivotButton="0" quotePrefix="0" xfId="0"/>
    <xf numFmtId="3" fontId="0" fillId="84" borderId="0" pivotButton="0" quotePrefix="0" xfId="0"/>
    <xf numFmtId="0" fontId="80" fillId="0" borderId="0" pivotButton="0" quotePrefix="0" xfId="0"/>
    <xf numFmtId="0" fontId="81" fillId="0" borderId="0" pivotButton="0" quotePrefix="0" xfId="0"/>
    <xf numFmtId="0" fontId="82" fillId="0" borderId="0" pivotButton="0" quotePrefix="0" xfId="0"/>
    <xf numFmtId="0" fontId="83" fillId="0" borderId="0" pivotButton="0" quotePrefix="0" xfId="0"/>
    <xf numFmtId="0" fontId="84" fillId="77" borderId="0" pivotButton="0" quotePrefix="0" xfId="0"/>
    <xf numFmtId="0" fontId="85" fillId="87" borderId="0" pivotButton="0" quotePrefix="0" xfId="0"/>
    <xf numFmtId="0" fontId="85" fillId="87" borderId="26" pivotButton="0" quotePrefix="0" xfId="1"/>
    <xf numFmtId="0" fontId="65" fillId="0" borderId="26" pivotButton="0" quotePrefix="0" xfId="1"/>
    <xf numFmtId="0" fontId="11" fillId="53" borderId="26" pivotButton="0" quotePrefix="0" xfId="1"/>
    <xf numFmtId="0" fontId="19" fillId="0" borderId="26" pivotButton="0" quotePrefix="1" xfId="1"/>
    <xf numFmtId="0" fontId="85" fillId="88" borderId="0" pivotButton="0" quotePrefix="0" xfId="0"/>
    <xf numFmtId="0" fontId="11" fillId="89" borderId="0" pivotButton="0" quotePrefix="0" xfId="0"/>
    <xf numFmtId="0" fontId="85" fillId="88" borderId="26" pivotButton="0" quotePrefix="0" xfId="1"/>
    <xf numFmtId="0" fontId="11" fillId="89" borderId="26" pivotButton="0" quotePrefix="0" xfId="1"/>
    <xf numFmtId="0" fontId="86" fillId="0" borderId="0" pivotButton="0" quotePrefix="0" xfId="0"/>
    <xf numFmtId="0" fontId="87" fillId="53" borderId="0" pivotButton="0" quotePrefix="0" xfId="0"/>
    <xf numFmtId="0" fontId="88" fillId="88" borderId="0" pivotButton="0" quotePrefix="0" xfId="0"/>
    <xf numFmtId="0" fontId="86" fillId="0" borderId="0" pivotButton="0" quotePrefix="1" xfId="0"/>
    <xf numFmtId="0" fontId="87" fillId="89" borderId="0" pivotButton="0" quotePrefix="0" xfId="0"/>
    <xf numFmtId="2" fontId="2" fillId="3" borderId="0" applyAlignment="1" pivotButton="0" quotePrefix="0" xfId="0">
      <alignment horizontal="left" vertical="center" wrapText="1"/>
    </xf>
    <xf numFmtId="0" fontId="0" fillId="0" borderId="0" pivotButton="0" quotePrefix="0" xfId="0"/>
    <xf numFmtId="2" fontId="2" fillId="3" borderId="0" applyAlignment="1" pivotButton="0" quotePrefix="0" xfId="0">
      <alignment horizontal="left" vertical="center"/>
    </xf>
    <xf numFmtId="0" fontId="2" fillId="2" borderId="8" applyAlignment="1" pivotButton="0" quotePrefix="0" xfId="0">
      <alignment vertical="center" wrapText="1"/>
    </xf>
    <xf numFmtId="0" fontId="4" fillId="0" borderId="9" pivotButton="0" quotePrefix="0" xfId="0"/>
    <xf numFmtId="0" fontId="4" fillId="0" borderId="10" pivotButton="0" quotePrefix="0" xfId="0"/>
    <xf numFmtId="0" fontId="4" fillId="0" borderId="0" applyAlignment="1" pivotButton="0" quotePrefix="0" xfId="0">
      <alignment vertical="center" wrapText="1"/>
    </xf>
    <xf numFmtId="0" fontId="2" fillId="28" borderId="8" applyAlignment="1" pivotButton="0" quotePrefix="0" xfId="0">
      <alignment horizontal="center" vertical="center" wrapText="1"/>
    </xf>
    <xf numFmtId="0" fontId="2" fillId="2" borderId="8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/>
    </xf>
    <xf numFmtId="0" fontId="2" fillId="9" borderId="8" applyAlignment="1" pivotButton="0" quotePrefix="0" xfId="0">
      <alignment vertical="center" wrapText="1"/>
    </xf>
    <xf numFmtId="49" fontId="11" fillId="3" borderId="21" applyAlignment="1" pivotButton="0" quotePrefix="0" xfId="0">
      <alignment horizontal="center"/>
    </xf>
    <xf numFmtId="0" fontId="4" fillId="0" borderId="22" pivotButton="0" quotePrefix="0" xfId="0"/>
    <xf numFmtId="0" fontId="4" fillId="0" borderId="23" pivotButton="0" quotePrefix="0" xfId="0"/>
    <xf numFmtId="49" fontId="11" fillId="38" borderId="25" applyAlignment="1" pivotButton="0" quotePrefix="0" xfId="0">
      <alignment horizontal="center"/>
    </xf>
    <xf numFmtId="0" fontId="4" fillId="0" borderId="26" pivotButton="0" quotePrefix="0" xfId="0"/>
    <xf numFmtId="49" fontId="11" fillId="38" borderId="25" pivotButton="0" quotePrefix="0" xfId="0"/>
    <xf numFmtId="0" fontId="35" fillId="62" borderId="0" applyAlignment="1" pivotButton="0" quotePrefix="0" xfId="0">
      <alignment horizontal="center"/>
    </xf>
    <xf numFmtId="0" fontId="35" fillId="64" borderId="0" applyAlignment="1" pivotButton="0" quotePrefix="0" xfId="0">
      <alignment horizontal="center"/>
    </xf>
    <xf numFmtId="0" fontId="35" fillId="64" borderId="0" applyAlignment="1" pivotButton="0" quotePrefix="0" xfId="0">
      <alignment horizontal="center" wrapText="1"/>
    </xf>
    <xf numFmtId="0" fontId="35" fillId="62" borderId="0" applyAlignment="1" pivotButton="0" quotePrefix="0" xfId="0">
      <alignment horizontal="center" wrapText="1"/>
    </xf>
    <xf numFmtId="0" fontId="0" fillId="0" borderId="37" pivotButton="0" quotePrefix="0" xfId="0"/>
    <xf numFmtId="0" fontId="0" fillId="0" borderId="43" pivotButton="0" quotePrefix="0" xfId="0"/>
    <xf numFmtId="0" fontId="0" fillId="0" borderId="41" pivotButton="0" quotePrefix="0" xfId="0"/>
    <xf numFmtId="0" fontId="0" fillId="0" borderId="44" pivotButton="0" quotePrefix="0" xfId="0"/>
    <xf numFmtId="0" fontId="0" fillId="0" borderId="26" pivotButton="0" quotePrefix="0" xfId="0"/>
    <xf numFmtId="0" fontId="0" fillId="0" borderId="45" pivotButton="0" quotePrefix="0" xfId="0"/>
    <xf numFmtId="0" fontId="0" fillId="0" borderId="46" pivotButton="0" quotePrefix="0" xfId="0"/>
    <xf numFmtId="0" fontId="0" fillId="0" borderId="47" pivotButton="0" quotePrefix="0" xfId="0"/>
    <xf numFmtId="0" fontId="0" fillId="0" borderId="48" pivotButton="0" quotePrefix="0" xfId="0"/>
    <xf numFmtId="0" fontId="24" fillId="83" borderId="0" applyAlignment="1" pivotButton="0" quotePrefix="0" xfId="0">
      <alignment horizontal="center"/>
    </xf>
    <xf numFmtId="0" fontId="89" fillId="0" borderId="0" applyAlignment="1" pivotButton="0" quotePrefix="0" xfId="0">
      <alignment vertical="top" wrapText="1"/>
    </xf>
    <xf numFmtId="0" fontId="85" fillId="87" borderId="0" applyAlignment="1" pivotButton="0" quotePrefix="0" xfId="0">
      <alignment horizontal="center"/>
    </xf>
    <xf numFmtId="0" fontId="85" fillId="88" borderId="0" applyAlignment="1" pivotButton="0" quotePrefix="0" xfId="0">
      <alignment horizontal="center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7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2.75"/>
  <cols>
    <col width="137.140625" customWidth="1" style="817" min="1" max="1"/>
    <col width="13.28515625" customWidth="1" style="817" min="2" max="3"/>
    <col width="47.5703125" customWidth="1" style="817" min="4" max="4"/>
    <col width="13.28515625" customWidth="1" style="817" min="5" max="5"/>
    <col width="11.42578125" customWidth="1" style="817" min="6" max="9"/>
    <col width="19" customWidth="1" style="817" min="10" max="10"/>
  </cols>
  <sheetData>
    <row r="1" ht="18" customHeight="1" s="817">
      <c r="A1" s="470" t="inlineStr">
        <is>
          <t>Segmented Ashiko (Djembe-Style) — 464-Piece Diamond Pattern</t>
        </is>
      </c>
    </row>
    <row r="2">
      <c r="A2" s="537" t="inlineStr">
        <is>
          <t>29 Rings × 16 Segments · 4 Wood Species · Lathe-Turned Profile</t>
        </is>
      </c>
    </row>
    <row r="4" ht="15.75" customHeight="1" s="817">
      <c r="A4" s="660" t="inlineStr">
        <is>
          <t>DESIGN PARAMETERS</t>
        </is>
      </c>
      <c r="D4" s="718" t="inlineStr">
        <is>
          <t>WOOD SPECIES</t>
        </is>
      </c>
    </row>
    <row r="5">
      <c r="A5" s="472" t="inlineStr">
        <is>
          <t>Segments per Ring</t>
        </is>
      </c>
      <c r="B5" s="564" t="n">
        <v>16</v>
      </c>
      <c r="D5" s="472" t="inlineStr">
        <is>
          <t>Maple</t>
        </is>
      </c>
      <c r="E5" t="n">
        <v>132</v>
      </c>
      <c r="F5" s="536" t="inlineStr">
        <is>
          <t>segments</t>
        </is>
      </c>
    </row>
    <row r="6">
      <c r="A6" s="472" t="inlineStr">
        <is>
          <t>Ring Thickness (in)</t>
        </is>
      </c>
      <c r="B6" s="596" t="n">
        <v>0.875</v>
      </c>
      <c r="D6" s="472" t="inlineStr">
        <is>
          <t>Walnut</t>
        </is>
      </c>
      <c r="E6" t="n">
        <v>196</v>
      </c>
      <c r="F6" s="536" t="inlineStr">
        <is>
          <t>segments</t>
        </is>
      </c>
    </row>
    <row r="7">
      <c r="A7" s="472" t="inlineStr">
        <is>
          <t>Miter Angle (°)</t>
        </is>
      </c>
      <c r="B7" s="469">
        <f>180/B5</f>
        <v/>
      </c>
      <c r="C7" s="598" t="inlineStr">
        <is>
          <t>← =180/segments</t>
        </is>
      </c>
      <c r="D7" s="472" t="inlineStr">
        <is>
          <t>Cherry</t>
        </is>
      </c>
      <c r="E7" t="n">
        <v>28</v>
      </c>
      <c r="F7" s="536" t="inlineStr">
        <is>
          <t>segments</t>
        </is>
      </c>
    </row>
    <row r="8">
      <c r="A8" s="472" t="inlineStr">
        <is>
          <t>Overall Height (in)</t>
        </is>
      </c>
      <c r="B8" s="482">
        <f>B6*29</f>
        <v/>
      </c>
      <c r="D8" s="472" t="inlineStr">
        <is>
          <t>Yellowheart</t>
        </is>
      </c>
      <c r="E8" t="n">
        <v>108</v>
      </c>
      <c r="F8" s="536" t="inlineStr">
        <is>
          <t>segments</t>
        </is>
      </c>
    </row>
    <row r="9">
      <c r="A9" s="472" t="inlineStr">
        <is>
          <t>Head Diameter (in)</t>
        </is>
      </c>
      <c r="B9" s="481" t="n">
        <v>11.8</v>
      </c>
      <c r="D9" s="472" t="inlineStr">
        <is>
          <t>Total</t>
        </is>
      </c>
      <c r="E9" s="472">
        <f>SUM(E5:E8)</f>
        <v/>
      </c>
    </row>
    <row r="10">
      <c r="A10" s="472" t="inlineStr">
        <is>
          <t>Waist Diameter (in)</t>
        </is>
      </c>
      <c r="B10" s="481" t="n">
        <v>5.6</v>
      </c>
    </row>
    <row r="11">
      <c r="A11" s="472" t="inlineStr">
        <is>
          <t>Bell Diameter (in)</t>
        </is>
      </c>
      <c r="B11" s="481" t="n">
        <v>11.8</v>
      </c>
      <c r="D11" s="719" t="inlineStr">
        <is>
          <t>Diamond pattern: Maple/Walnut</t>
        </is>
      </c>
    </row>
    <row r="12">
      <c r="A12" s="472" t="inlineStr">
        <is>
          <t>Total Pieces</t>
        </is>
      </c>
      <c r="B12" s="472">
        <f>B5*29</f>
        <v/>
      </c>
      <c r="D12" s="719" t="inlineStr">
        <is>
          <t>base with Cherry/Yellowheart accents</t>
        </is>
      </c>
    </row>
    <row r="14" ht="15.75" customHeight="1" s="817">
      <c r="A14" s="663" t="inlineStr">
        <is>
          <t>RING-BY-RING CUT LIST</t>
        </is>
      </c>
    </row>
    <row r="15">
      <c r="A15" s="484" t="inlineStr">
        <is>
          <t>Ring</t>
        </is>
      </c>
      <c r="B15" s="484" t="inlineStr">
        <is>
          <t>Board W</t>
        </is>
      </c>
      <c r="C15" s="484" t="inlineStr">
        <is>
          <t>Board L</t>
        </is>
      </c>
      <c r="D15" s="484" t="inlineStr">
        <is>
          <t>S.E.L.</t>
        </is>
      </c>
      <c r="E15" s="484" t="inlineStr">
        <is>
          <t>Outer Ø</t>
        </is>
      </c>
      <c r="F15" s="484" t="inlineStr">
        <is>
          <t>Maple</t>
        </is>
      </c>
      <c r="G15" s="484" t="inlineStr">
        <is>
          <t>Walnut</t>
        </is>
      </c>
      <c r="H15" s="484" t="inlineStr">
        <is>
          <t>Cherry</t>
        </is>
      </c>
      <c r="I15" s="484" t="inlineStr">
        <is>
          <t>Yellow</t>
        </is>
      </c>
      <c r="J15" s="484" t="inlineStr">
        <is>
          <t>Zone</t>
        </is>
      </c>
    </row>
    <row r="16">
      <c r="A16" s="626" t="n">
        <v>1</v>
      </c>
      <c r="B16" s="469" t="n">
        <v>1</v>
      </c>
      <c r="C16" s="481" t="n">
        <v>16.1</v>
      </c>
      <c r="D16" s="482" t="n">
        <v>1.559</v>
      </c>
      <c r="E16" t="n">
        <v>7.8</v>
      </c>
      <c r="F16" s="485" t="n">
        <v>8</v>
      </c>
      <c r="G16" t="n">
        <v>0</v>
      </c>
      <c r="H16" t="n">
        <v>0</v>
      </c>
      <c r="I16" s="551" t="n">
        <v>8</v>
      </c>
      <c r="J16" s="537" t="inlineStr">
        <is>
          <t>Top (bowl)</t>
        </is>
      </c>
    </row>
    <row r="17">
      <c r="A17" s="626" t="n">
        <v>2</v>
      </c>
      <c r="B17" s="469" t="n">
        <v>1</v>
      </c>
      <c r="C17" s="481" t="n">
        <v>16.7</v>
      </c>
      <c r="D17" s="482" t="n">
        <v>1.527</v>
      </c>
      <c r="E17" t="n">
        <v>7.6</v>
      </c>
      <c r="F17" t="n">
        <v>0</v>
      </c>
      <c r="G17" s="632" t="n">
        <v>8</v>
      </c>
      <c r="H17" t="n">
        <v>0</v>
      </c>
      <c r="I17" s="551" t="n">
        <v>8</v>
      </c>
      <c r="J17" s="537" t="inlineStr">
        <is>
          <t>Top (bowl)</t>
        </is>
      </c>
    </row>
    <row r="18">
      <c r="A18" s="626" t="n">
        <v>3</v>
      </c>
      <c r="B18" s="469" t="n">
        <v>1</v>
      </c>
      <c r="C18" s="481" t="n">
        <v>17.2</v>
      </c>
      <c r="D18" s="482" t="n">
        <v>1.476</v>
      </c>
      <c r="E18" t="n">
        <v>7.4</v>
      </c>
      <c r="F18" s="485" t="n">
        <v>8</v>
      </c>
      <c r="G18" t="n">
        <v>0</v>
      </c>
      <c r="H18" t="n">
        <v>0</v>
      </c>
      <c r="I18" s="551" t="n">
        <v>8</v>
      </c>
      <c r="J18" s="537" t="inlineStr">
        <is>
          <t>Top (bowl)</t>
        </is>
      </c>
    </row>
    <row r="19">
      <c r="A19" s="626" t="n">
        <v>4</v>
      </c>
      <c r="B19" s="469" t="n">
        <v>1</v>
      </c>
      <c r="C19" s="481" t="n">
        <v>17.8</v>
      </c>
      <c r="D19" s="482" t="n">
        <v>1.436</v>
      </c>
      <c r="E19" t="n">
        <v>7.2</v>
      </c>
      <c r="F19" t="n">
        <v>0</v>
      </c>
      <c r="G19" s="632" t="n">
        <v>4</v>
      </c>
      <c r="H19" t="n">
        <v>0</v>
      </c>
      <c r="I19" s="551" t="n">
        <v>4</v>
      </c>
      <c r="J19" s="537" t="inlineStr">
        <is>
          <t>Top (bowl)</t>
        </is>
      </c>
    </row>
    <row r="20">
      <c r="A20" s="626" t="n">
        <v>5</v>
      </c>
      <c r="B20" s="469" t="n">
        <v>1</v>
      </c>
      <c r="C20" s="481" t="n">
        <v>18.4</v>
      </c>
      <c r="D20" s="482" t="n">
        <v>1.396</v>
      </c>
      <c r="E20" t="n">
        <v>7</v>
      </c>
      <c r="F20" s="485" t="n">
        <v>8</v>
      </c>
      <c r="G20" t="n">
        <v>0</v>
      </c>
      <c r="H20" t="n">
        <v>0</v>
      </c>
      <c r="I20" s="551" t="n">
        <v>8</v>
      </c>
      <c r="J20" s="537" t="inlineStr">
        <is>
          <t>Top (bowl)</t>
        </is>
      </c>
    </row>
    <row r="21">
      <c r="A21" s="626" t="n">
        <v>6</v>
      </c>
      <c r="B21" s="469" t="n">
        <v>1</v>
      </c>
      <c r="C21" s="481" t="n">
        <v>18.8</v>
      </c>
      <c r="D21" s="482" t="n">
        <v>1.353</v>
      </c>
      <c r="E21" t="n">
        <v>6.8</v>
      </c>
      <c r="F21" t="n">
        <v>0</v>
      </c>
      <c r="G21" s="632" t="n">
        <v>8</v>
      </c>
      <c r="H21" t="n">
        <v>0</v>
      </c>
      <c r="I21" s="551" t="n">
        <v>8</v>
      </c>
      <c r="J21" s="537" t="inlineStr">
        <is>
          <t>Top (bowl)</t>
        </is>
      </c>
    </row>
    <row r="22">
      <c r="A22" s="626" t="n">
        <v>7</v>
      </c>
      <c r="B22" s="469" t="n">
        <v>1</v>
      </c>
      <c r="C22" s="481" t="n">
        <v>19.1</v>
      </c>
      <c r="D22" s="482" t="n">
        <v>1.313</v>
      </c>
      <c r="E22" t="n">
        <v>6.6</v>
      </c>
      <c r="F22" s="485" t="n">
        <v>8</v>
      </c>
      <c r="G22" t="n">
        <v>0</v>
      </c>
      <c r="H22" t="n">
        <v>0</v>
      </c>
      <c r="I22" s="551" t="n">
        <v>8</v>
      </c>
      <c r="J22" s="537" t="inlineStr">
        <is>
          <t>Top (bowl)</t>
        </is>
      </c>
    </row>
    <row r="23">
      <c r="A23" s="626" t="n">
        <v>8</v>
      </c>
      <c r="B23" s="469" t="n">
        <v>1</v>
      </c>
      <c r="C23" s="481" t="n">
        <v>19</v>
      </c>
      <c r="D23" s="482" t="n">
        <v>1.277</v>
      </c>
      <c r="E23" t="n">
        <v>6.4</v>
      </c>
      <c r="F23" t="n">
        <v>0</v>
      </c>
      <c r="G23" s="632" t="n">
        <v>4</v>
      </c>
      <c r="H23" t="n">
        <v>0</v>
      </c>
      <c r="I23" s="551" t="n">
        <v>4</v>
      </c>
      <c r="J23" s="537" t="inlineStr">
        <is>
          <t>Top (bowl)</t>
        </is>
      </c>
    </row>
    <row r="24">
      <c r="A24" s="626" t="n">
        <v>9</v>
      </c>
      <c r="B24" s="469" t="n">
        <v>1.2</v>
      </c>
      <c r="C24" s="481" t="n">
        <v>17.9</v>
      </c>
      <c r="D24" s="482" t="n">
        <v>1.237</v>
      </c>
      <c r="E24" t="n">
        <v>6.2</v>
      </c>
      <c r="F24" s="485" t="n">
        <v>8</v>
      </c>
      <c r="G24" t="n">
        <v>0</v>
      </c>
      <c r="H24" t="n">
        <v>0</v>
      </c>
      <c r="I24" s="551" t="n">
        <v>8</v>
      </c>
      <c r="J24" s="537" t="inlineStr">
        <is>
          <t>Waist (neck)</t>
        </is>
      </c>
    </row>
    <row r="25">
      <c r="A25" s="626" t="n">
        <v>10</v>
      </c>
      <c r="B25" s="469" t="n">
        <v>1.37</v>
      </c>
      <c r="C25" s="481" t="n">
        <v>16.5</v>
      </c>
      <c r="D25" s="482" t="n">
        <v>1.186</v>
      </c>
      <c r="E25" t="n">
        <v>6</v>
      </c>
      <c r="F25" t="n">
        <v>0</v>
      </c>
      <c r="G25" s="632" t="n">
        <v>8</v>
      </c>
      <c r="H25" t="n">
        <v>0</v>
      </c>
      <c r="I25" s="551" t="n">
        <v>8</v>
      </c>
      <c r="J25" s="537" t="inlineStr">
        <is>
          <t>Waist (neck)</t>
        </is>
      </c>
    </row>
    <row r="26">
      <c r="A26" s="626" t="n">
        <v>11</v>
      </c>
      <c r="B26" s="469" t="n">
        <v>1.56</v>
      </c>
      <c r="C26" s="481" t="n">
        <v>15.2</v>
      </c>
      <c r="D26" s="482" t="n">
        <v>1.142</v>
      </c>
      <c r="E26" t="n">
        <v>5.7</v>
      </c>
      <c r="F26" s="485" t="n">
        <v>8</v>
      </c>
      <c r="G26" t="n">
        <v>0</v>
      </c>
      <c r="H26" t="n">
        <v>0</v>
      </c>
      <c r="I26" s="551" t="n">
        <v>8</v>
      </c>
      <c r="J26" s="537" t="inlineStr">
        <is>
          <t>Waist (neck)</t>
        </is>
      </c>
    </row>
    <row r="27">
      <c r="A27" s="626" t="n">
        <v>12</v>
      </c>
      <c r="B27" s="469" t="n">
        <v>1.69</v>
      </c>
      <c r="C27" s="481" t="n">
        <v>14.2</v>
      </c>
      <c r="D27" s="482" t="n">
        <v>1.106</v>
      </c>
      <c r="E27" t="n">
        <v>5.6</v>
      </c>
      <c r="F27" t="n">
        <v>0</v>
      </c>
      <c r="G27" s="632" t="n">
        <v>4</v>
      </c>
      <c r="H27" s="646" t="n">
        <v>4</v>
      </c>
      <c r="I27" s="551" t="n">
        <v>0</v>
      </c>
      <c r="J27" s="537" t="inlineStr">
        <is>
          <t>Waist (neck)</t>
        </is>
      </c>
    </row>
    <row r="28">
      <c r="A28" s="626" t="n">
        <v>13</v>
      </c>
      <c r="B28" s="469" t="n">
        <v>1.77</v>
      </c>
      <c r="C28" s="481" t="n">
        <v>14.2</v>
      </c>
      <c r="D28" s="482" t="n">
        <v>1.118</v>
      </c>
      <c r="E28" t="n">
        <v>5.6</v>
      </c>
      <c r="F28" s="485" t="n">
        <v>8</v>
      </c>
      <c r="G28" t="n">
        <v>0</v>
      </c>
      <c r="H28" t="n">
        <v>0</v>
      </c>
      <c r="I28" s="551" t="n">
        <v>8</v>
      </c>
      <c r="J28" s="537" t="inlineStr">
        <is>
          <t>Waist (neck)</t>
        </is>
      </c>
    </row>
    <row r="29">
      <c r="A29" s="626" t="n">
        <v>14</v>
      </c>
      <c r="B29" s="469" t="n">
        <v>2.58</v>
      </c>
      <c r="C29" s="481" t="n">
        <v>16.7</v>
      </c>
      <c r="D29" s="482" t="n">
        <v>1.44</v>
      </c>
      <c r="E29" t="n">
        <v>7.2</v>
      </c>
      <c r="F29" s="485" t="n">
        <v>4</v>
      </c>
      <c r="G29" s="632" t="n">
        <v>0</v>
      </c>
      <c r="H29" s="646" t="n">
        <v>4</v>
      </c>
      <c r="I29" s="551" t="n">
        <v>0</v>
      </c>
      <c r="J29" s="537" t="inlineStr">
        <is>
          <t>Transition</t>
        </is>
      </c>
    </row>
    <row r="30">
      <c r="A30" s="626" t="n">
        <v>15</v>
      </c>
      <c r="B30" s="469" t="n">
        <v>2.52</v>
      </c>
      <c r="C30" s="481" t="n">
        <v>22.8</v>
      </c>
      <c r="D30" s="482" t="n">
        <v>1.806</v>
      </c>
      <c r="E30" t="n">
        <v>9.1</v>
      </c>
      <c r="F30" s="485" t="n">
        <v>8</v>
      </c>
      <c r="G30" t="n">
        <v>0</v>
      </c>
      <c r="H30" t="n">
        <v>0</v>
      </c>
      <c r="I30" s="551" t="n">
        <v>8</v>
      </c>
      <c r="J30" s="537" t="inlineStr">
        <is>
          <t>Bell (base)</t>
        </is>
      </c>
    </row>
    <row r="31">
      <c r="A31" s="626" t="n">
        <v>16</v>
      </c>
      <c r="B31" s="469" t="n">
        <v>1.84</v>
      </c>
      <c r="C31" s="481" t="n">
        <v>28.4</v>
      </c>
      <c r="D31" s="482" t="n">
        <v>2.025</v>
      </c>
      <c r="E31" t="n">
        <v>10.2</v>
      </c>
      <c r="F31" s="485" t="n">
        <v>0</v>
      </c>
      <c r="G31" s="632" t="n">
        <v>4</v>
      </c>
      <c r="H31" s="646" t="n">
        <v>0</v>
      </c>
      <c r="I31" s="551" t="n">
        <v>4</v>
      </c>
      <c r="J31" s="537" t="inlineStr">
        <is>
          <t>Bell (base)</t>
        </is>
      </c>
    </row>
    <row r="32">
      <c r="A32" s="626" t="n">
        <v>17</v>
      </c>
      <c r="B32" s="469" t="n">
        <v>1.56</v>
      </c>
      <c r="C32" s="481" t="n">
        <v>32.1</v>
      </c>
      <c r="D32" s="482" t="n">
        <v>2.196</v>
      </c>
      <c r="E32" t="n">
        <v>11</v>
      </c>
      <c r="F32" s="485" t="n">
        <v>8</v>
      </c>
      <c r="G32" t="n">
        <v>0</v>
      </c>
      <c r="H32" t="n">
        <v>0</v>
      </c>
      <c r="I32" s="551" t="n">
        <v>8</v>
      </c>
      <c r="J32" s="537" t="inlineStr">
        <is>
          <t>Bell (base)</t>
        </is>
      </c>
    </row>
    <row r="33">
      <c r="A33" s="626" t="n">
        <v>18</v>
      </c>
      <c r="B33" s="469" t="n">
        <v>1.14</v>
      </c>
      <c r="C33" s="481" t="n">
        <v>34.3</v>
      </c>
      <c r="D33" s="482" t="n">
        <v>2.252</v>
      </c>
      <c r="E33" t="n">
        <v>11.3</v>
      </c>
      <c r="F33" s="485" t="n">
        <v>0</v>
      </c>
      <c r="G33" s="632" t="n">
        <v>8</v>
      </c>
      <c r="H33" s="646" t="n">
        <v>0</v>
      </c>
      <c r="I33" s="551" t="n">
        <v>8</v>
      </c>
      <c r="J33" s="537" t="inlineStr">
        <is>
          <t>Bell (base)</t>
        </is>
      </c>
    </row>
    <row r="34">
      <c r="A34" s="626" t="n">
        <v>19</v>
      </c>
      <c r="B34" s="469" t="n">
        <v>1</v>
      </c>
      <c r="C34" s="481" t="n">
        <v>34.8</v>
      </c>
      <c r="D34" s="482" t="n">
        <v>2.252</v>
      </c>
      <c r="E34" t="n">
        <v>11.3</v>
      </c>
      <c r="F34" s="485" t="n">
        <v>8</v>
      </c>
      <c r="G34" t="n">
        <v>0</v>
      </c>
      <c r="H34" t="n">
        <v>0</v>
      </c>
      <c r="I34" s="551" t="n">
        <v>8</v>
      </c>
      <c r="J34" s="537" t="inlineStr">
        <is>
          <t>Bell (base)</t>
        </is>
      </c>
    </row>
    <row r="35">
      <c r="A35" s="626" t="n">
        <v>20</v>
      </c>
      <c r="B35" s="469" t="n">
        <v>1</v>
      </c>
      <c r="C35" s="481" t="n">
        <v>34.5</v>
      </c>
      <c r="D35" s="482" t="n">
        <v>2.244</v>
      </c>
      <c r="E35" t="n">
        <v>11.3</v>
      </c>
      <c r="F35" s="485" t="n">
        <v>0</v>
      </c>
      <c r="G35" s="632" t="n">
        <v>4</v>
      </c>
      <c r="H35" s="646" t="n">
        <v>0</v>
      </c>
      <c r="I35" s="551" t="n">
        <v>4</v>
      </c>
      <c r="J35" s="537" t="inlineStr">
        <is>
          <t>Bell (base)</t>
        </is>
      </c>
    </row>
    <row r="36">
      <c r="A36" s="626" t="n">
        <v>21</v>
      </c>
      <c r="B36" s="469" t="n">
        <v>1</v>
      </c>
      <c r="C36" s="481" t="n">
        <v>34.5</v>
      </c>
      <c r="D36" s="482" t="n">
        <v>2.24</v>
      </c>
      <c r="E36" t="n">
        <v>11.3</v>
      </c>
      <c r="F36" s="485" t="n">
        <v>8</v>
      </c>
      <c r="G36" t="n">
        <v>0</v>
      </c>
      <c r="H36" t="n">
        <v>0</v>
      </c>
      <c r="I36" s="551" t="n">
        <v>8</v>
      </c>
      <c r="J36" s="537" t="inlineStr">
        <is>
          <t>Bell (base)</t>
        </is>
      </c>
    </row>
    <row r="37">
      <c r="A37" s="626" t="n">
        <v>22</v>
      </c>
      <c r="B37" s="469" t="n">
        <v>1</v>
      </c>
      <c r="C37" s="481" t="n">
        <v>34.7</v>
      </c>
      <c r="D37" s="482" t="n">
        <v>2.26</v>
      </c>
      <c r="E37" t="n">
        <v>11.4</v>
      </c>
      <c r="F37" s="485" t="n">
        <v>0</v>
      </c>
      <c r="G37" s="632" t="n">
        <v>8</v>
      </c>
      <c r="H37" s="646" t="n">
        <v>0</v>
      </c>
      <c r="I37" s="551" t="n">
        <v>8</v>
      </c>
      <c r="J37" s="537" t="inlineStr">
        <is>
          <t>Bell (base)</t>
        </is>
      </c>
    </row>
    <row r="38">
      <c r="A38" s="626" t="n">
        <v>23</v>
      </c>
      <c r="B38" s="469" t="n">
        <v>1</v>
      </c>
      <c r="C38" s="481" t="n">
        <v>35</v>
      </c>
      <c r="D38" s="482" t="n">
        <v>2.28</v>
      </c>
      <c r="E38" t="n">
        <v>11.5</v>
      </c>
      <c r="F38" s="485" t="n">
        <v>8</v>
      </c>
      <c r="G38" t="n">
        <v>0</v>
      </c>
      <c r="H38" t="n">
        <v>0</v>
      </c>
      <c r="I38" s="551" t="n">
        <v>8</v>
      </c>
      <c r="J38" s="537" t="inlineStr">
        <is>
          <t>Bell (base)</t>
        </is>
      </c>
    </row>
    <row r="39">
      <c r="A39" s="626" t="n">
        <v>24</v>
      </c>
      <c r="B39" s="469" t="n">
        <v>1</v>
      </c>
      <c r="C39" s="481" t="n">
        <v>35.4</v>
      </c>
      <c r="D39" s="482" t="n">
        <v>2.299</v>
      </c>
      <c r="E39" t="n">
        <v>11.6</v>
      </c>
      <c r="F39" s="485" t="n">
        <v>0</v>
      </c>
      <c r="G39" s="632" t="n">
        <v>4</v>
      </c>
      <c r="H39" s="646" t="n">
        <v>0</v>
      </c>
      <c r="I39" s="551" t="n">
        <v>4</v>
      </c>
      <c r="J39" s="537" t="inlineStr">
        <is>
          <t>Bell (base)</t>
        </is>
      </c>
    </row>
    <row r="40">
      <c r="A40" s="626" t="n">
        <v>25</v>
      </c>
      <c r="B40" s="469" t="n">
        <v>1</v>
      </c>
      <c r="C40" s="481" t="n">
        <v>35.7</v>
      </c>
      <c r="D40" s="482" t="n">
        <v>2.315</v>
      </c>
      <c r="E40" t="n">
        <v>11.6</v>
      </c>
      <c r="F40" s="485" t="n">
        <v>8</v>
      </c>
      <c r="G40" t="n">
        <v>0</v>
      </c>
      <c r="H40" t="n">
        <v>0</v>
      </c>
      <c r="I40" s="551" t="n">
        <v>8</v>
      </c>
      <c r="J40" s="537" t="inlineStr">
        <is>
          <t>Bell (base)</t>
        </is>
      </c>
    </row>
    <row r="41">
      <c r="A41" s="626" t="n">
        <v>26</v>
      </c>
      <c r="B41" s="469" t="n">
        <v>1</v>
      </c>
      <c r="C41" s="481" t="n">
        <v>35.9</v>
      </c>
      <c r="D41" s="482" t="n">
        <v>2.327</v>
      </c>
      <c r="E41" t="n">
        <v>11.7</v>
      </c>
      <c r="F41" s="485" t="n">
        <v>0</v>
      </c>
      <c r="G41" s="632" t="n">
        <v>8</v>
      </c>
      <c r="H41" s="646" t="n">
        <v>0</v>
      </c>
      <c r="I41" s="551" t="n">
        <v>8</v>
      </c>
      <c r="J41" s="537" t="inlineStr">
        <is>
          <t>Bell (base)</t>
        </is>
      </c>
    </row>
    <row r="42">
      <c r="A42" s="626" t="n">
        <v>27</v>
      </c>
      <c r="B42" s="469" t="n">
        <v>1</v>
      </c>
      <c r="C42" s="481" t="n">
        <v>36.1</v>
      </c>
      <c r="D42" s="482" t="n">
        <v>2.335</v>
      </c>
      <c r="E42" t="n">
        <v>11.7</v>
      </c>
      <c r="F42" s="485" t="n">
        <v>8</v>
      </c>
      <c r="G42" t="n">
        <v>0</v>
      </c>
      <c r="H42" t="n">
        <v>0</v>
      </c>
      <c r="I42" s="551" t="n">
        <v>8</v>
      </c>
      <c r="J42" s="537" t="inlineStr">
        <is>
          <t>Bell (base)</t>
        </is>
      </c>
    </row>
    <row r="43">
      <c r="A43" s="626" t="n">
        <v>28</v>
      </c>
      <c r="B43" s="469" t="n">
        <v>1</v>
      </c>
      <c r="C43" s="481" t="n">
        <v>36.2</v>
      </c>
      <c r="D43" s="482" t="n">
        <v>2.347</v>
      </c>
      <c r="E43" t="n">
        <v>11.8</v>
      </c>
      <c r="F43" s="485" t="n">
        <v>0</v>
      </c>
      <c r="G43" s="632" t="n">
        <v>4</v>
      </c>
      <c r="H43" s="646" t="n">
        <v>0</v>
      </c>
      <c r="I43" s="551" t="n">
        <v>4</v>
      </c>
      <c r="J43" s="537" t="inlineStr">
        <is>
          <t>Bell (base)</t>
        </is>
      </c>
    </row>
    <row r="44">
      <c r="A44" s="626" t="n">
        <v>29</v>
      </c>
      <c r="B44" s="469" t="n">
        <v>1</v>
      </c>
      <c r="C44" s="481" t="n">
        <v>35.7</v>
      </c>
      <c r="D44" s="482" t="n">
        <v>2.347</v>
      </c>
      <c r="E44" t="n">
        <v>11.8</v>
      </c>
      <c r="F44" s="485" t="n">
        <v>8</v>
      </c>
      <c r="G44" t="n">
        <v>0</v>
      </c>
      <c r="H44" t="n">
        <v>0</v>
      </c>
      <c r="I44" s="551" t="n">
        <v>8</v>
      </c>
      <c r="J44" s="537" t="inlineStr">
        <is>
          <t>Bell (base)</t>
        </is>
      </c>
    </row>
    <row r="45">
      <c r="A45" s="472" t="inlineStr">
        <is>
          <t>TOTAL</t>
        </is>
      </c>
      <c r="F45" s="472">
        <f>SUM(F16:F44)</f>
        <v/>
      </c>
      <c r="G45" s="472">
        <f>SUM(G16:G44)</f>
        <v/>
      </c>
      <c r="H45" s="472">
        <f>SUM(H16:H44)</f>
        <v/>
      </c>
      <c r="I45" s="472">
        <f>SUM(I16:I44)</f>
        <v/>
      </c>
    </row>
    <row r="47" ht="15.75" customHeight="1" s="817">
      <c r="A47" s="660" t="inlineStr">
        <is>
          <t>BILL OF MATERIALS</t>
        </is>
      </c>
    </row>
    <row r="48">
      <c r="A48" s="484" t="inlineStr">
        <is>
          <t>#</t>
        </is>
      </c>
      <c r="B48" s="484" t="inlineStr">
        <is>
          <t>Item</t>
        </is>
      </c>
      <c r="C48" s="484" t="inlineStr">
        <is>
          <t>Qty</t>
        </is>
      </c>
      <c r="D48" s="484" t="inlineStr">
        <is>
          <t>Size / Notes</t>
        </is>
      </c>
    </row>
    <row r="49">
      <c r="A49" t="n">
        <v>1</v>
      </c>
      <c r="B49" t="inlineStr">
        <is>
          <t>Hard Maple boards</t>
        </is>
      </c>
      <c r="C49" t="inlineStr">
        <is>
          <t>3 bf</t>
        </is>
      </c>
      <c r="D49" t="inlineStr">
        <is>
          <t>4/4 x 6" minimum, S2S</t>
        </is>
      </c>
    </row>
    <row r="50">
      <c r="A50" t="n">
        <v>2</v>
      </c>
      <c r="B50" t="inlineStr">
        <is>
          <t>Black Walnut boards</t>
        </is>
      </c>
      <c r="C50" t="inlineStr">
        <is>
          <t>4.5 bf</t>
        </is>
      </c>
      <c r="D50" t="inlineStr">
        <is>
          <t>4/4 x 6" minimum, S2S</t>
        </is>
      </c>
    </row>
    <row r="51">
      <c r="A51" t="n">
        <v>3</v>
      </c>
      <c r="B51" t="inlineStr">
        <is>
          <t>Cherry boards</t>
        </is>
      </c>
      <c r="C51" t="inlineStr">
        <is>
          <t>0.5 bf</t>
        </is>
      </c>
      <c r="D51" t="inlineStr">
        <is>
          <t>4/4 x 4" minimum, accent only</t>
        </is>
      </c>
    </row>
    <row r="52">
      <c r="A52" t="n">
        <v>4</v>
      </c>
      <c r="B52" t="inlineStr">
        <is>
          <t>Yellowheart boards</t>
        </is>
      </c>
      <c r="C52" t="inlineStr">
        <is>
          <t>2.5 bf</t>
        </is>
      </c>
      <c r="D52" t="inlineStr">
        <is>
          <t>4/4 x 6" minimum, S2S</t>
        </is>
      </c>
    </row>
    <row r="53">
      <c r="A53" t="n">
        <v>5</v>
      </c>
      <c r="B53" t="inlineStr">
        <is>
          <t>Titebond III wood glue</t>
        </is>
      </c>
      <c r="C53" t="inlineStr">
        <is>
          <t>16 oz</t>
        </is>
      </c>
      <c r="D53" t="inlineStr">
        <is>
          <t>Waterproof for drum body</t>
        </is>
      </c>
    </row>
    <row r="54">
      <c r="A54" t="n">
        <v>6</v>
      </c>
      <c r="B54" t="inlineStr">
        <is>
          <t>CA glue (thin)</t>
        </is>
      </c>
      <c r="C54" t="inlineStr">
        <is>
          <t>2 oz</t>
        </is>
      </c>
      <c r="D54" t="inlineStr">
        <is>
          <t>Ring alignment tack</t>
        </is>
      </c>
    </row>
    <row r="55">
      <c r="A55" t="n">
        <v>7</v>
      </c>
      <c r="B55" t="inlineStr">
        <is>
          <t>Drum head (goatskin)</t>
        </is>
      </c>
      <c r="C55" t="n">
        <v>1</v>
      </c>
      <c r="D55" t="inlineStr">
        <is>
          <t>14" pre-tucked or raw + ring</t>
        </is>
      </c>
    </row>
    <row r="56">
      <c r="A56" t="n">
        <v>8</v>
      </c>
      <c r="B56" t="inlineStr">
        <is>
          <t>Rope (pre-stretched)</t>
        </is>
      </c>
      <c r="C56" t="inlineStr">
        <is>
          <t>40 ft</t>
        </is>
      </c>
      <c r="D56" t="inlineStr">
        <is>
          <t>5mm polyester or 4mm Dyneema</t>
        </is>
      </c>
    </row>
    <row r="57">
      <c r="A57" t="n">
        <v>9</v>
      </c>
      <c r="B57" t="inlineStr">
        <is>
          <t>Steel rings (top)</t>
        </is>
      </c>
      <c r="C57" t="n">
        <v>2</v>
      </c>
      <c r="D57" t="inlineStr">
        <is>
          <t>12" ID x 3/16" rod, welded</t>
        </is>
      </c>
    </row>
    <row r="58">
      <c r="A58" t="n">
        <v>10</v>
      </c>
      <c r="B58" t="inlineStr">
        <is>
          <t>Steel ring (bottom)</t>
        </is>
      </c>
      <c r="C58" t="n">
        <v>1</v>
      </c>
      <c r="D58" t="inlineStr">
        <is>
          <t>6" ID x 3/16" rod, foot ring</t>
        </is>
      </c>
    </row>
    <row r="59">
      <c r="A59" t="n">
        <v>11</v>
      </c>
      <c r="B59" t="inlineStr">
        <is>
          <t>Sled jig (CNC)</t>
        </is>
      </c>
      <c r="C59" t="n">
        <v>1</v>
      </c>
      <c r="D59" t="inlineStr">
        <is>
          <t>MDF sled for miter cuts at 11.25 deg</t>
        </is>
      </c>
    </row>
    <row r="60">
      <c r="A60" t="n">
        <v>12</v>
      </c>
      <c r="B60" t="inlineStr">
        <is>
          <t>Band clamps</t>
        </is>
      </c>
      <c r="C60" t="n">
        <v>2</v>
      </c>
      <c r="D60" t="inlineStr">
        <is>
          <t>Large hose clamps or web clamps</t>
        </is>
      </c>
    </row>
    <row r="61">
      <c r="A61" t="n">
        <v>13</v>
      </c>
      <c r="B61" t="inlineStr">
        <is>
          <t>Sandpaper</t>
        </is>
      </c>
      <c r="C61" t="inlineStr">
        <is>
          <t>assorted</t>
        </is>
      </c>
      <c r="D61" t="inlineStr">
        <is>
          <t>80/120/220/320/400 grit</t>
        </is>
      </c>
    </row>
    <row r="62">
      <c r="A62" t="n">
        <v>14</v>
      </c>
      <c r="B62" t="inlineStr">
        <is>
          <t>Finish (oil)</t>
        </is>
      </c>
      <c r="C62" t="inlineStr">
        <is>
          <t>8 oz</t>
        </is>
      </c>
      <c r="D62" t="inlineStr">
        <is>
          <t>Tung oil or Danish oil</t>
        </is>
      </c>
    </row>
    <row r="63">
      <c r="A63" t="n">
        <v>15</v>
      </c>
      <c r="B63" t="inlineStr">
        <is>
          <t>Lathe faceplate</t>
        </is>
      </c>
      <c r="C63" t="n">
        <v>1</v>
      </c>
      <c r="D63" t="inlineStr">
        <is>
          <t>Must fit 12"+ swing</t>
        </is>
      </c>
    </row>
    <row r="64">
      <c r="A64" t="n">
        <v>16</v>
      </c>
      <c r="B64" t="inlineStr">
        <is>
          <t>Waste block (glue-on)</t>
        </is>
      </c>
      <c r="C64" t="n">
        <v>1</v>
      </c>
      <c r="D64" t="inlineStr">
        <is>
          <t>3" x 12" hardwood for lathe mount</t>
        </is>
      </c>
    </row>
    <row r="66" ht="15.75" customHeight="1" s="817">
      <c r="A66" s="663" t="inlineStr">
        <is>
          <t>BUILD METHOD</t>
        </is>
      </c>
    </row>
    <row r="67" ht="15" customHeight="1" s="817">
      <c r="A67" s="600" t="inlineStr">
        <is>
          <t>Phase 1: Stock Prep &amp; Segment Cutting</t>
        </is>
      </c>
    </row>
    <row r="68">
      <c r="A68" t="inlineStr">
        <is>
          <t>1. Mill all boards to ring thickness (0.875") + 1/16" sanding allowance</t>
        </is>
      </c>
    </row>
    <row r="69">
      <c r="A69" t="inlineStr">
        <is>
          <t>2. Rip boards to widths per cut list (Board Width column)</t>
        </is>
      </c>
    </row>
    <row r="70">
      <c r="A70" t="inlineStr">
        <is>
          <t>3. CNC or table saw: cut miter sled at 11.25 deg (=180/16)</t>
        </is>
      </c>
    </row>
    <row r="71">
      <c r="A71" t="inlineStr">
        <is>
          <t>4. Crosscut each board into 16 segments at miter angle, length = S.E.L.</t>
        </is>
      </c>
    </row>
    <row r="72">
      <c r="A72" t="inlineStr">
        <is>
          <t>5. Sort segments by ring # and species per diamond pattern</t>
        </is>
      </c>
    </row>
    <row r="73">
      <c r="A73" t="inlineStr">
        <is>
          <t>6. Dry-fit each ring (16 segments) with band clamp, check gaps &lt; 1/64"</t>
        </is>
      </c>
    </row>
    <row r="75" ht="15" customHeight="1" s="817">
      <c r="A75" s="600" t="inlineStr">
        <is>
          <t>Phase 2: Ring Glue-Up (one ring per day)</t>
        </is>
      </c>
    </row>
    <row r="76">
      <c r="A76" t="inlineStr">
        <is>
          <t>7. Glue ring in two halves (8 segments each), clamp with band clamp</t>
        </is>
      </c>
    </row>
    <row r="77">
      <c r="A77" t="inlineStr">
        <is>
          <t>8. After 1hr, join halves into full ring, re-clamp</t>
        </is>
      </c>
    </row>
    <row r="78">
      <c r="A78" t="inlineStr">
        <is>
          <t>9. Cure overnight minimum (Titebond III: 24hr full cure)</t>
        </is>
      </c>
    </row>
    <row r="79">
      <c r="A79" t="inlineStr">
        <is>
          <t>10. Sand both faces of cured ring flat (belt sander or drum sander)</t>
        </is>
      </c>
    </row>
    <row r="80">
      <c r="A80" t="inlineStr">
        <is>
          <t>11. Repeat for all 29 rings -- approx 5-6 weeks at one ring/day</t>
        </is>
      </c>
    </row>
    <row r="82" ht="15" customHeight="1" s="817">
      <c r="A82" s="600" t="inlineStr">
        <is>
          <t>Phase 3: Stack &amp; Glue Body</t>
        </is>
      </c>
    </row>
    <row r="83">
      <c r="A83" t="inlineStr">
        <is>
          <t>12. Align diamond pattern: rotate each ring to match adjacent ring pattern</t>
        </is>
      </c>
    </row>
    <row r="84">
      <c r="A84" t="inlineStr">
        <is>
          <t>13. Dry-stack all 29 rings, verify pattern alignment with marks</t>
        </is>
      </c>
    </row>
    <row r="85">
      <c r="A85" t="inlineStr">
        <is>
          <t>14. Glue rings in groups of 4-5, clamped vertically with threaded rod through center</t>
        </is>
      </c>
    </row>
    <row r="86">
      <c r="A86" t="inlineStr">
        <is>
          <t>15. After all groups cured, glue groups together (3-4 sessions)</t>
        </is>
      </c>
    </row>
    <row r="87">
      <c r="A87" t="inlineStr">
        <is>
          <t>16. Full body now a solid 25.375" cylinder-ish blank</t>
        </is>
      </c>
    </row>
    <row r="89" ht="15" customHeight="1" s="817">
      <c r="A89" s="600" t="inlineStr">
        <is>
          <t>Phase 4: Lathe Turning (CRITICAL)</t>
        </is>
      </c>
    </row>
    <row r="90">
      <c r="A90" t="inlineStr">
        <is>
          <t>17. Mount waste block to bell end (bottom) with CA + screws</t>
        </is>
      </c>
    </row>
    <row r="91">
      <c r="A91" t="inlineStr">
        <is>
          <t>18. Mount on lathe between faceplate (waste block) and live center (top)</t>
        </is>
      </c>
    </row>
    <row r="92">
      <c r="A92" t="inlineStr">
        <is>
          <t>19. Rough-turn exterior to profile: bowl (rings 1-8), waist (9-13), bell (14-29)</t>
        </is>
      </c>
    </row>
    <row r="93">
      <c r="A93" t="inlineStr">
        <is>
          <t>20. Use calipers to check diameters at each ring against cut list</t>
        </is>
      </c>
    </row>
    <row r="94">
      <c r="A94" t="inlineStr">
        <is>
          <t>21. Hollow interior: bore through top, then hollow with bowl gouge</t>
        </is>
      </c>
    </row>
    <row r="95">
      <c r="A95" t="inlineStr">
        <is>
          <t>22. Target wall thickness: 3/8" at waist, 1/2" at bowl and bell</t>
        </is>
      </c>
    </row>
    <row r="96">
      <c r="A96" t="inlineStr">
        <is>
          <t>23. Final-turn exterior smooth, blend ring transitions</t>
        </is>
      </c>
    </row>
    <row r="97">
      <c r="A97" t="inlineStr">
        <is>
          <t>24. Sand on lathe: 120 -&gt; 220 -&gt; 320 -&gt; 400 grit while spinning</t>
        </is>
      </c>
    </row>
    <row r="99" ht="15" customHeight="1" s="817">
      <c r="A99" s="600" t="inlineStr">
        <is>
          <t>Phase 5: Head &amp; Hardware</t>
        </is>
      </c>
    </row>
    <row r="100">
      <c r="A100" t="inlineStr">
        <is>
          <t>25. Part off waste block, clean bottom edge</t>
        </is>
      </c>
    </row>
    <row r="101">
      <c r="A101" t="inlineStr">
        <is>
          <t>26. Cut bearing edge: 45-deg bevel on top rim (inside edge), 1/8" flat crown</t>
        </is>
      </c>
    </row>
    <row r="102">
      <c r="A102" t="inlineStr">
        <is>
          <t>27. Install top steel ring: press-fit inside top 1/4"</t>
        </is>
      </c>
    </row>
    <row r="103">
      <c r="A103" t="inlineStr">
        <is>
          <t>28. Soak goatskin head 30 min, drape over top, pull down with rope + rings</t>
        </is>
      </c>
    </row>
    <row r="104">
      <c r="A104" t="inlineStr">
        <is>
          <t>29. Lace rope in Mali weave or vertical pattern, tensioning evenly</t>
        </is>
      </c>
    </row>
    <row r="105">
      <c r="A105" t="inlineStr">
        <is>
          <t>30. Let head dry under tension 48-72 hrs</t>
        </is>
      </c>
    </row>
    <row r="107" ht="15" customHeight="1" s="817">
      <c r="A107" s="600" t="inlineStr">
        <is>
          <t>Phase 6: Finish</t>
        </is>
      </c>
    </row>
    <row r="108">
      <c r="A108" t="inlineStr">
        <is>
          <t>31. Apply 3 coats tung oil, sanding with 400 between coats</t>
        </is>
      </c>
    </row>
    <row r="109">
      <c r="A109" t="inlineStr">
        <is>
          <t>32. Install foot ring (bottom), optional rubber feet</t>
        </is>
      </c>
    </row>
    <row r="110">
      <c r="A110" t="inlineStr">
        <is>
          <t>33. Final tension adjustment on rope after head fully cures (1 week)</t>
        </is>
      </c>
    </row>
    <row r="113" ht="18" customHeight="1" s="817">
      <c r="A113" s="802" t="inlineStr">
        <is>
          <t>WOLFRAM CLOUD NOTEBOOK SPEC — SEGMENTED ASHIKO</t>
        </is>
      </c>
    </row>
    <row r="114">
      <c r="A114" s="734" t="inlineStr">
        <is>
          <t>Truncated-cone hand drum from West Africa — segmented stave construction (29 rings × 16 segments).</t>
        </is>
      </c>
    </row>
    <row r="116">
      <c r="A116" s="609" t="inlineStr">
        <is>
          <t>§1 — HISTORY, ETYMOLOGY &amp; ORIGIN</t>
        </is>
      </c>
    </row>
    <row r="117">
      <c r="A117" t="inlineStr">
        <is>
          <t>Origin: West Africa (Yoruba, Igbo regions of Nigeria and surrounding). Cousin to djembe (Mali/Guinea, goblet-shaped) — ashiko is straight-tapered cone.</t>
        </is>
      </c>
    </row>
    <row r="118">
      <c r="A118" s="759" t="inlineStr">
        <is>
          <t>Ashiko' may derive from Yoruba root meaning 'freedom' or 'spirit'; details disputed. Adopted into African-American drum-circle traditions (Babatunde Olatunji et al., mid-20th c.).</t>
        </is>
      </c>
    </row>
    <row r="119">
      <c r="A119" t="inlineStr">
        <is>
          <t>Wolfram items: GeoGraphics over Nigeria/Yorubaland; Entity["MusicalInstrument","Drum"]; TimelinePlot[{ancient, 1959→Olatunji 'Drums of Passion', 1990s→drum-circle movement}].</t>
        </is>
      </c>
    </row>
    <row r="121">
      <c r="A121" s="609" t="inlineStr">
        <is>
          <t>§2 — PHYSICS &amp; ACOUSTICS</t>
        </is>
      </c>
    </row>
    <row r="122">
      <c r="A122" t="inlineStr">
        <is>
          <t>Drumhead: circular membrane under tension. f_{m,n} = (j_{m,n}/(2π a)) Sqrt[T/σ] where j_{m,n} is BesselJZero[m,n], a = head radius, T = areal tension, σ = areal density.</t>
        </is>
      </c>
    </row>
    <row r="123">
      <c r="A123" t="inlineStr">
        <is>
          <t>Modes are inharmonic (Bessel zeros are not integer ratios) → drumheads sound 'pitched' but not strongly tonal. Contrast tabla, where loaded center pulls modes toward harmonic.</t>
        </is>
      </c>
    </row>
    <row r="124">
      <c r="A124" t="inlineStr">
        <is>
          <t>Shell: truncated cone. Acts as a Helmholtz-ish resonator (open bottom = port). Cavity resonance ~50–150 Hz depending on size — gives the ashiko its bass body.</t>
        </is>
      </c>
    </row>
    <row r="125">
      <c r="A125" t="inlineStr">
        <is>
          <t>Wolfram functions: BesselJZero[m,n] for membrane mode frequencies; ContourPlot3D[BesselJ[m, k r] Cos[m θ]] for mode shapes; Periodogram of struck drum for measured spectrum.</t>
        </is>
      </c>
    </row>
    <row r="127">
      <c r="A127" s="609" t="inlineStr">
        <is>
          <t>§3 — GEOMETRY &amp; DESIGN MODEL</t>
        </is>
      </c>
    </row>
    <row r="128">
      <c r="A128" t="inlineStr">
        <is>
          <t>Segmented construction: 29 rings × 16 segments = 464 pieces. Miter angle = 180/16 = 11.25° per segment edge.</t>
        </is>
      </c>
    </row>
    <row r="129">
      <c r="A129" t="inlineStr">
        <is>
          <t>Each ring has a different outer diameter (top = wide, bottom = narrow). Segment edge length per ring: π·D_outer / 16. Stack rings, glue, then turn on lathe to clean profile.</t>
        </is>
      </c>
    </row>
    <row r="130">
      <c r="A130" t="inlineStr">
        <is>
          <t>Wolfram items: ParametricPlot3D truncated cone; RegionUnion of ring meshes; Manipulate sliders for top_D, bottom_D, height, ring_count; Graphics3D ring-stack exploded animation.</t>
        </is>
      </c>
    </row>
    <row r="131">
      <c r="A131" t="inlineStr">
        <is>
          <t>Diamond pattern: alternate species per segment for visual rhythm. Pattern map: matrix of {ring, segment} → species. Use the pattern from this sheet.</t>
        </is>
      </c>
    </row>
    <row r="133">
      <c r="A133" s="609" t="inlineStr">
        <is>
          <t>§4 — MATERIALS &amp; CORRECTIONS</t>
        </is>
      </c>
    </row>
    <row r="134">
      <c r="A134" t="inlineStr">
        <is>
          <t>Shell woods: maple/walnut as base + cherry/yellowheart accents (sheet pattern). E and ρ less critical for drums than for marimba bars — shell mostly defines volume + Helmholtz coupling, not pitch directly.</t>
        </is>
      </c>
    </row>
    <row r="135">
      <c r="A135" t="inlineStr">
        <is>
          <t>Head: goatskin (traditional), cowhide, calfskin, or synthetic Mylar/Remo. σ (areal density) ranges 0.4–1.0 kg/m². Tension applied via rope-and-ring tuning system.</t>
        </is>
      </c>
    </row>
    <row r="136">
      <c r="A136" t="inlineStr">
        <is>
          <t>Tuning: head tension shifts pitch as f ∝ √T — quadrupling tension doubles pitch. Practical range maybe ±50 cents from nominal.</t>
        </is>
      </c>
    </row>
    <row r="137">
      <c r="A137" t="inlineStr">
        <is>
          <t>Humidity: skin heads tighten when dry, loosen when humid — pitch climbs in summer indoors, drops outside in rain.</t>
        </is>
      </c>
    </row>
    <row r="139">
      <c r="A139" s="609" t="inlineStr">
        <is>
          <t>§5 — BOM HOOK &amp; CUT LIST</t>
        </is>
      </c>
    </row>
    <row r="140">
      <c r="A140" t="inlineStr">
        <is>
          <t>SemanticImport["Flutes-AI.xlsx","Segmented Ashiko"]; ring-by-ring cut list; total segment count by species; board-feet calc.</t>
        </is>
      </c>
    </row>
    <row r="141">
      <c r="A141" t="inlineStr">
        <is>
          <t>Cost: Total[Segments × Cost_per_species]; check yield from purchased boards.</t>
        </is>
      </c>
    </row>
    <row r="143">
      <c r="A143" s="609" t="inlineStr">
        <is>
          <t>§6 — ANIMATED DIAGRAMS</t>
        </is>
      </c>
    </row>
    <row r="144">
      <c r="A144" t="inlineStr">
        <is>
          <t>Ring stack-up animation: Animate rings glued from bottom to top, one per second.</t>
        </is>
      </c>
    </row>
    <row r="145">
      <c r="A145" t="inlineStr">
        <is>
          <t>Diamond-pattern color map: Graphics with colored squares for each {ring, segment} pair — preview the visual pattern before cutting.</t>
        </is>
      </c>
    </row>
    <row r="146">
      <c r="A146" t="inlineStr">
        <is>
          <t>Membrane mode animation: ContourPlot3D Bessel modes on the head; ListAnimate (0,1) (1,1) (2,1) (0,2) modes.</t>
        </is>
      </c>
    </row>
    <row r="148">
      <c r="A148" s="609" t="inlineStr">
        <is>
          <t>§7 — EXECUTABLE CELLS</t>
        </is>
      </c>
    </row>
    <row r="149">
      <c r="A149" t="inlineStr">
        <is>
          <t>miter[n_]:=180/n  (* degrees, equal-divided ring *)</t>
        </is>
      </c>
    </row>
    <row r="150">
      <c r="A150" t="inlineStr">
        <is>
          <t>edgeLen[Douter_,n_]:=π Douter / n</t>
        </is>
      </c>
    </row>
    <row r="151">
      <c r="A151" t="inlineStr">
        <is>
          <t>fHead[m_,n_,a_,T_,σ_]:=(BesselJZero[m,n]/(π a)) Sqrt[T/σ]</t>
        </is>
      </c>
    </row>
    <row r="152">
      <c r="A152" t="inlineStr">
        <is>
          <t>totalSegs[ringCount_,segPerRing_]:=ringCount segPerRing</t>
        </is>
      </c>
    </row>
    <row r="154">
      <c r="A154" s="609" t="inlineStr">
        <is>
          <t>§8 — DEPLOYMENT</t>
        </is>
      </c>
    </row>
    <row r="155">
      <c r="A155" t="inlineStr">
        <is>
          <t>CloudDeploy: input top_D + bottom_D + height + segments-per-ring → returns full cut list as Dataset; APIFunction for diamond-pattern generator (input species set, get color matrix).</t>
        </is>
      </c>
    </row>
    <row r="156">
      <c r="A156" t="inlineStr">
        <is>
          <t>Wolfram functions: CloudDeploy, APIFunction, FormFunction, Export[ ,"CSV"|"PDF"|"DXF"] for cut-list output.</t>
        </is>
      </c>
    </row>
    <row r="159" ht="18" customHeight="1" s="817">
      <c r="A159" s="807" t="inlineStr">
        <is>
          <t>WOLFRAM EXPLORATIONS — SEGMENTED ASHIKO</t>
        </is>
      </c>
    </row>
    <row r="160">
      <c r="A160" s="734" t="inlineStr">
        <is>
          <t>Curated from the wolfram-notebooks-roadmap brainstorm — pick a row, file an issue, build the notebook.</t>
        </is>
      </c>
    </row>
    <row r="162">
      <c r="A162" s="808" t="inlineStr">
        <is>
          <t>Roadmap-inspired notebook ideas tailored to this sheet:</t>
        </is>
      </c>
    </row>
    <row r="163">
      <c r="A163" t="inlineStr">
        <is>
          <t xml:space="preserve">  • Ring Stack Calculator (Manipulate) — Sliders for segments/ring + top/bottom Ø + height → 3D ring stack with diamond pattern preview.</t>
        </is>
      </c>
    </row>
    <row r="164">
      <c r="A164" t="inlineStr">
        <is>
          <t xml:space="preserve">  • Stave Blank Yield Optimizer — 2D nesting on 4×8 plywood for 464-piece ring stock; minimize offcut waste.</t>
        </is>
      </c>
    </row>
    <row r="165">
      <c r="A165" t="inlineStr">
        <is>
          <t xml:space="preserve">  • Goatskin Drape Simulation (FEM) — Stretched circular membrane over conical body; predict tension distribution + mode frequencies.</t>
        </is>
      </c>
    </row>
    <row r="166">
      <c r="A166" t="inlineStr">
        <is>
          <t xml:space="preserve">  • Diamond-Pattern Generator — Color matrix permutation: input species set → preview pattern → export to layup spreadsheet.</t>
        </is>
      </c>
    </row>
    <row r="167">
      <c r="A167" t="inlineStr">
        <is>
          <t xml:space="preserve">  • Bit-Lifetime Calculator — Track inches of rip/miter cuts per bit; project carbide replacement cost over the 464-piece build.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2026-05-01T02:02:13Z</dcterms:created>
  <dcterms:modified xmlns:dcterms="http://purl.org/dc/terms/" xmlns:xsi="http://www.w3.org/2001/XMLSchema-instance" xsi:type="dcterms:W3CDTF">2026-05-02T18:58:35Z</dcterms:modified>
  <cp:lastModifiedBy>Tony Koop</cp:lastModifiedBy>
</cp:coreProperties>
</file>