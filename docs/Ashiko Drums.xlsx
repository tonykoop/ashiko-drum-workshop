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fb347fd33bc0e98d/Documents/"/>
    </mc:Choice>
  </mc:AlternateContent>
  <bookViews>
    <workbookView xWindow="0" yWindow="0" windowWidth="16095" windowHeight="19680" activeTab="1"/>
  </bookViews>
  <sheets>
    <sheet name="Ashikos" sheetId="13" r:id="rId1"/>
    <sheet name="Method" sheetId="11" r:id="rId2"/>
  </sheet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" i="13" l="1"/>
  <c r="D8" i="13"/>
  <c r="E8" i="13"/>
  <c r="F8" i="13"/>
  <c r="G8" i="13"/>
  <c r="H8" i="13"/>
  <c r="I8" i="13"/>
  <c r="J8" i="13"/>
  <c r="K8" i="13"/>
  <c r="L8" i="13"/>
  <c r="M8" i="13"/>
  <c r="B8" i="13"/>
  <c r="F4" i="13"/>
  <c r="F2" i="13"/>
  <c r="J2" i="13"/>
  <c r="J13" i="13"/>
  <c r="L1" i="13"/>
  <c r="F14" i="13"/>
  <c r="B14" i="13"/>
  <c r="M14" i="13"/>
  <c r="I14" i="13"/>
  <c r="E14" i="13"/>
  <c r="L14" i="13"/>
  <c r="H14" i="13"/>
  <c r="D14" i="13"/>
  <c r="K14" i="13"/>
  <c r="G14" i="13"/>
  <c r="C14" i="13"/>
  <c r="J14" i="13"/>
  <c r="G9" i="13"/>
  <c r="G16" i="13"/>
  <c r="B9" i="13"/>
  <c r="J9" i="13"/>
  <c r="F9" i="13"/>
  <c r="F16" i="13"/>
  <c r="M9" i="13"/>
  <c r="I9" i="13"/>
  <c r="E9" i="13"/>
  <c r="E16" i="13"/>
  <c r="L9" i="13"/>
  <c r="L16" i="13"/>
  <c r="H9" i="13"/>
  <c r="H15" i="13"/>
  <c r="D9" i="13"/>
  <c r="D16" i="13"/>
  <c r="K9" i="13"/>
  <c r="K15" i="13"/>
  <c r="G15" i="13"/>
  <c r="C9" i="13"/>
  <c r="C15" i="13"/>
  <c r="B13" i="13"/>
  <c r="F13" i="13"/>
  <c r="M13" i="13"/>
  <c r="I13" i="13"/>
  <c r="E13" i="13"/>
  <c r="L13" i="13"/>
  <c r="H13" i="13"/>
  <c r="D13" i="13"/>
  <c r="K13" i="13"/>
  <c r="G13" i="13"/>
  <c r="C13" i="13"/>
  <c r="B11" i="13"/>
  <c r="J11" i="13"/>
  <c r="F11" i="13"/>
  <c r="M11" i="13"/>
  <c r="I11" i="13"/>
  <c r="E11" i="13"/>
  <c r="L11" i="13"/>
  <c r="H11" i="13"/>
  <c r="D11" i="13"/>
  <c r="K11" i="13"/>
  <c r="G11" i="13"/>
  <c r="C11" i="13"/>
  <c r="C25" i="13"/>
  <c r="G25" i="13"/>
  <c r="K25" i="13"/>
  <c r="D25" i="13"/>
  <c r="H25" i="13"/>
  <c r="L25" i="13"/>
  <c r="J1" i="13"/>
  <c r="E25" i="13"/>
  <c r="I25" i="13"/>
  <c r="M25" i="13"/>
  <c r="B25" i="13"/>
  <c r="F25" i="13"/>
  <c r="J25" i="13"/>
  <c r="J15" i="13"/>
  <c r="J16" i="13"/>
  <c r="J17" i="13"/>
  <c r="I15" i="13"/>
  <c r="I16" i="13"/>
  <c r="B15" i="13"/>
  <c r="B16" i="13"/>
  <c r="B17" i="13"/>
  <c r="H16" i="13"/>
  <c r="H17" i="13"/>
  <c r="M15" i="13"/>
  <c r="M16" i="13"/>
  <c r="M17" i="13"/>
  <c r="K16" i="13"/>
  <c r="K17" i="13"/>
  <c r="C16" i="13"/>
  <c r="C17" i="13"/>
  <c r="F15" i="13"/>
  <c r="E15" i="13"/>
  <c r="D12" i="13"/>
  <c r="D26" i="13"/>
  <c r="D28" i="13"/>
  <c r="D31" i="13"/>
  <c r="D17" i="13"/>
  <c r="I12" i="13"/>
  <c r="I26" i="13"/>
  <c r="I27" i="13"/>
  <c r="I17" i="13"/>
  <c r="B12" i="13"/>
  <c r="B26" i="13"/>
  <c r="B27" i="13"/>
  <c r="C12" i="13"/>
  <c r="C26" i="13"/>
  <c r="C27" i="13"/>
  <c r="H12" i="13"/>
  <c r="H26" i="13"/>
  <c r="H28" i="13"/>
  <c r="H31" i="13"/>
  <c r="M12" i="13"/>
  <c r="M26" i="13"/>
  <c r="M28" i="13"/>
  <c r="M31" i="13"/>
  <c r="G12" i="13"/>
  <c r="G26" i="13"/>
  <c r="G27" i="13"/>
  <c r="L12" i="13"/>
  <c r="L26" i="13"/>
  <c r="L28" i="13"/>
  <c r="L31" i="13"/>
  <c r="L17" i="13"/>
  <c r="F12" i="13"/>
  <c r="F26" i="13"/>
  <c r="F28" i="13"/>
  <c r="F31" i="13"/>
  <c r="F17" i="13"/>
  <c r="K12" i="13"/>
  <c r="K26" i="13"/>
  <c r="K28" i="13"/>
  <c r="K31" i="13"/>
  <c r="E12" i="13"/>
  <c r="E26" i="13"/>
  <c r="E28" i="13"/>
  <c r="E31" i="13"/>
  <c r="E17" i="13"/>
  <c r="J12" i="13"/>
  <c r="J26" i="13"/>
  <c r="J27" i="13"/>
  <c r="L15" i="13"/>
  <c r="G17" i="13"/>
  <c r="D15" i="13"/>
  <c r="H36" i="13"/>
  <c r="E36" i="13"/>
  <c r="G36" i="13"/>
  <c r="K44" i="13"/>
  <c r="L36" i="13"/>
  <c r="C28" i="13"/>
  <c r="C31" i="13"/>
  <c r="M36" i="13"/>
  <c r="M20" i="13"/>
  <c r="D36" i="13"/>
  <c r="D20" i="13"/>
  <c r="J36" i="13"/>
  <c r="J20" i="13"/>
  <c r="J43" i="13"/>
  <c r="J40" i="13"/>
  <c r="I36" i="13"/>
  <c r="I20" i="13"/>
  <c r="C36" i="13"/>
  <c r="C20" i="13"/>
  <c r="K20" i="13"/>
  <c r="L20" i="13"/>
  <c r="F36" i="13"/>
  <c r="F20" i="13"/>
  <c r="B36" i="13"/>
  <c r="B20" i="13"/>
  <c r="J44" i="13"/>
  <c r="K40" i="13"/>
  <c r="M44" i="13"/>
  <c r="M40" i="13"/>
  <c r="D44" i="13"/>
  <c r="D40" i="13"/>
  <c r="F44" i="13"/>
  <c r="F40" i="13"/>
  <c r="B44" i="13"/>
  <c r="B40" i="13"/>
  <c r="I44" i="13"/>
  <c r="I40" i="13"/>
  <c r="C40" i="13"/>
  <c r="C44" i="13"/>
  <c r="L40" i="13"/>
  <c r="J32" i="13"/>
  <c r="C32" i="13"/>
  <c r="C33" i="13"/>
  <c r="E27" i="13"/>
  <c r="K32" i="13"/>
  <c r="K33" i="13"/>
  <c r="L32" i="13"/>
  <c r="L33" i="13"/>
  <c r="G32" i="13"/>
  <c r="G33" i="13"/>
  <c r="H32" i="13"/>
  <c r="H33" i="13"/>
  <c r="F32" i="13"/>
  <c r="F33" i="13"/>
  <c r="I32" i="13"/>
  <c r="I33" i="13"/>
  <c r="M32" i="13"/>
  <c r="M33" i="13"/>
  <c r="E32" i="13"/>
  <c r="E33" i="13"/>
  <c r="B32" i="13"/>
  <c r="B33" i="13"/>
  <c r="D32" i="13"/>
  <c r="D33" i="13"/>
  <c r="H27" i="13"/>
  <c r="B28" i="13"/>
  <c r="B31" i="13"/>
  <c r="G28" i="13"/>
  <c r="G31" i="13"/>
  <c r="D27" i="13"/>
  <c r="M27" i="13"/>
  <c r="F27" i="13"/>
  <c r="L27" i="13"/>
  <c r="K27" i="13"/>
  <c r="I28" i="13"/>
  <c r="I31" i="13"/>
  <c r="J28" i="13"/>
  <c r="J31" i="13"/>
  <c r="J45" i="13"/>
  <c r="J46" i="13"/>
  <c r="J33" i="13"/>
  <c r="G40" i="13"/>
  <c r="E40" i="13"/>
  <c r="E20" i="13"/>
  <c r="E22" i="13"/>
  <c r="E44" i="13"/>
  <c r="G20" i="13"/>
  <c r="G21" i="13"/>
  <c r="G39" i="13"/>
  <c r="G41" i="13"/>
  <c r="G42" i="13"/>
  <c r="H44" i="13"/>
  <c r="H20" i="13"/>
  <c r="H22" i="13"/>
  <c r="L44" i="13"/>
  <c r="G44" i="13"/>
  <c r="H40" i="13"/>
  <c r="K36" i="13"/>
  <c r="J21" i="13"/>
  <c r="J39" i="13"/>
  <c r="J22" i="13"/>
  <c r="J30" i="13"/>
  <c r="B43" i="13"/>
  <c r="B22" i="13"/>
  <c r="B21" i="13"/>
  <c r="B39" i="13"/>
  <c r="M22" i="13"/>
  <c r="M21" i="13"/>
  <c r="M39" i="13"/>
  <c r="M41" i="13"/>
  <c r="M42" i="13"/>
  <c r="M43" i="13"/>
  <c r="M45" i="13"/>
  <c r="M46" i="13"/>
  <c r="D22" i="13"/>
  <c r="D21" i="13"/>
  <c r="D39" i="13"/>
  <c r="D41" i="13"/>
  <c r="D42" i="13"/>
  <c r="D43" i="13"/>
  <c r="D45" i="13"/>
  <c r="D46" i="13"/>
  <c r="L22" i="13"/>
  <c r="L21" i="13"/>
  <c r="L39" i="13"/>
  <c r="L41" i="13"/>
  <c r="L42" i="13"/>
  <c r="L43" i="13"/>
  <c r="C22" i="13"/>
  <c r="C21" i="13"/>
  <c r="C39" i="13"/>
  <c r="C41" i="13"/>
  <c r="C42" i="13"/>
  <c r="C43" i="13"/>
  <c r="C45" i="13"/>
  <c r="C46" i="13"/>
  <c r="I22" i="13"/>
  <c r="I21" i="13"/>
  <c r="I39" i="13"/>
  <c r="I41" i="13"/>
  <c r="I42" i="13"/>
  <c r="I43" i="13"/>
  <c r="F43" i="13"/>
  <c r="F45" i="13"/>
  <c r="F46" i="13"/>
  <c r="F22" i="13"/>
  <c r="F21" i="13"/>
  <c r="F39" i="13"/>
  <c r="F41" i="13"/>
  <c r="F42" i="13"/>
  <c r="K22" i="13"/>
  <c r="K21" i="13"/>
  <c r="K39" i="13"/>
  <c r="K41" i="13"/>
  <c r="K42" i="13"/>
  <c r="K43" i="13"/>
  <c r="K45" i="13"/>
  <c r="K46" i="13"/>
  <c r="H43" i="13"/>
  <c r="E43" i="13"/>
  <c r="E45" i="13"/>
  <c r="E46" i="13"/>
  <c r="G22" i="13"/>
  <c r="G30" i="13"/>
  <c r="B41" i="13"/>
  <c r="N41" i="13"/>
  <c r="E21" i="13"/>
  <c r="E39" i="13"/>
  <c r="E41" i="13"/>
  <c r="E42" i="13"/>
  <c r="B45" i="13"/>
  <c r="B46" i="13"/>
  <c r="G43" i="13"/>
  <c r="J41" i="13"/>
  <c r="J42" i="13"/>
  <c r="I45" i="13"/>
  <c r="I46" i="13"/>
  <c r="J35" i="13"/>
  <c r="J37" i="13"/>
  <c r="J38" i="13"/>
  <c r="G45" i="13"/>
  <c r="G46" i="13"/>
  <c r="L45" i="13"/>
  <c r="L46" i="13"/>
  <c r="H21" i="13"/>
  <c r="H39" i="13"/>
  <c r="H41" i="13"/>
  <c r="H42" i="13"/>
  <c r="H45" i="13"/>
  <c r="H46" i="13"/>
  <c r="J23" i="13"/>
  <c r="K35" i="13"/>
  <c r="K37" i="13"/>
  <c r="K38" i="13"/>
  <c r="K30" i="13"/>
  <c r="K23" i="13"/>
  <c r="L35" i="13"/>
  <c r="L37" i="13"/>
  <c r="L38" i="13"/>
  <c r="L30" i="13"/>
  <c r="L23" i="13"/>
  <c r="M30" i="13"/>
  <c r="M23" i="13"/>
  <c r="M35" i="13"/>
  <c r="M37" i="13"/>
  <c r="M38" i="13"/>
  <c r="H35" i="13"/>
  <c r="H37" i="13"/>
  <c r="H38" i="13"/>
  <c r="H30" i="13"/>
  <c r="H23" i="13"/>
  <c r="C35" i="13"/>
  <c r="C37" i="13"/>
  <c r="C38" i="13"/>
  <c r="C30" i="13"/>
  <c r="C23" i="13"/>
  <c r="F35" i="13"/>
  <c r="F37" i="13"/>
  <c r="F38" i="13"/>
  <c r="F30" i="13"/>
  <c r="F23" i="13"/>
  <c r="I30" i="13"/>
  <c r="I23" i="13"/>
  <c r="I35" i="13"/>
  <c r="I37" i="13"/>
  <c r="I38" i="13"/>
  <c r="D35" i="13"/>
  <c r="D37" i="13"/>
  <c r="D38" i="13"/>
  <c r="D30" i="13"/>
  <c r="D23" i="13"/>
  <c r="B35" i="13"/>
  <c r="B37" i="13"/>
  <c r="B30" i="13"/>
  <c r="B23" i="13"/>
  <c r="E30" i="13"/>
  <c r="E23" i="13"/>
  <c r="E35" i="13"/>
  <c r="E37" i="13"/>
  <c r="E38" i="13"/>
  <c r="N45" i="13"/>
  <c r="G35" i="13"/>
  <c r="G37" i="13"/>
  <c r="G38" i="13"/>
  <c r="G23" i="13"/>
  <c r="B42" i="13"/>
  <c r="B38" i="13"/>
  <c r="N37" i="13"/>
</calcChain>
</file>

<file path=xl/comments1.xml><?xml version="1.0" encoding="utf-8"?>
<comments xmlns="http://schemas.openxmlformats.org/spreadsheetml/2006/main">
  <authors>
    <author>Tony</author>
  </authors>
  <commentList>
    <comment ref="N8" authorId="0" shapeId="0">
      <text>
        <r>
          <rPr>
            <b/>
            <sz val="9"/>
            <color indexed="81"/>
            <rFont val="Tahoma"/>
            <family val="2"/>
          </rPr>
          <t>This instrument calculator is configured to dimension the staves from the height being proportional to the drum head diameter.</t>
        </r>
      </text>
    </comment>
    <comment ref="N9" authorId="0" shapeId="0">
      <text>
        <r>
          <rPr>
            <b/>
            <sz val="9"/>
            <color indexed="81"/>
            <rFont val="Tahoma"/>
            <family val="2"/>
          </rPr>
          <t>Dependant on φ - Could change dependant and independent variables (φ and Base Diameter) Base diameter could be set to a ratio or drum head diameter, ie 1/2, 3/8 etc. φ would then change as a result.</t>
        </r>
      </text>
    </comment>
    <comment ref="N11" authorId="0" shapeId="0">
      <text>
        <r>
          <rPr>
            <b/>
            <sz val="9"/>
            <color indexed="81"/>
            <rFont val="Tahoma"/>
            <family val="2"/>
          </rPr>
          <t>FlairLength=(Build Height)/cos(φ) or hyp=adj/cos(φ)</t>
        </r>
      </text>
    </comment>
    <comment ref="N12" authorId="0" shapeId="0">
      <text>
        <r>
          <rPr>
            <b/>
            <sz val="9"/>
            <color indexed="81"/>
            <rFont val="Tahoma"/>
            <family val="2"/>
          </rPr>
          <t>Cut To Length = Nominal Length + Extra Stave Length (rounded up to 1/8")</t>
        </r>
      </text>
    </comment>
    <comment ref="N15" authorId="0" shapeId="0">
      <text>
        <r>
          <rPr>
            <b/>
            <sz val="9"/>
            <color indexed="81"/>
            <rFont val="Tahoma"/>
            <family val="2"/>
          </rPr>
          <t>The next four dimensions are dependent on the joint between the staves.
Status = undecided</t>
        </r>
      </text>
    </comment>
    <comment ref="N16" authorId="0" shapeId="0">
      <text>
        <r>
          <rPr>
            <b/>
            <sz val="9"/>
            <color indexed="81"/>
            <rFont val="Tahoma"/>
            <family val="2"/>
          </rPr>
          <t>See notebook entry dated 4/27/13 Here t=B1/cos(φ)</t>
        </r>
      </text>
    </comment>
    <comment ref="N20" authorId="0" shapeId="0">
      <text>
        <r>
          <rPr>
            <b/>
            <sz val="9"/>
            <color indexed="81"/>
            <rFont val="Tahoma"/>
            <family val="2"/>
          </rPr>
          <t>Outer Width + Extra Stave Width</t>
        </r>
      </text>
    </comment>
    <comment ref="N21" authorId="0" shapeId="0">
      <text>
        <r>
          <rPr>
            <b/>
            <sz val="9"/>
            <color indexed="81"/>
            <rFont val="Tahoma"/>
            <family val="2"/>
          </rPr>
          <t>Row25*2+Kerf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Row25*3+Kerf*2</t>
        </r>
      </text>
    </comment>
  </commentList>
</comments>
</file>

<file path=xl/sharedStrings.xml><?xml version="1.0" encoding="utf-8"?>
<sst xmlns="http://schemas.openxmlformats.org/spreadsheetml/2006/main" count="141" uniqueCount="108">
  <si>
    <t>B</t>
  </si>
  <si>
    <t>A</t>
  </si>
  <si>
    <t>Length (in)</t>
  </si>
  <si>
    <t>Width (in)</t>
  </si>
  <si>
    <t>B1 Xcut (in)</t>
  </si>
  <si>
    <t>B2 Xcut (in)</t>
  </si>
  <si>
    <t>B3 Xcut (in)</t>
  </si>
  <si>
    <t>A1</t>
  </si>
  <si>
    <t>B1</t>
  </si>
  <si>
    <t>A2</t>
  </si>
  <si>
    <t>A3</t>
  </si>
  <si>
    <t>B3</t>
  </si>
  <si>
    <t>B2</t>
  </si>
  <si>
    <t>A1:A3 Xcut (in)</t>
  </si>
  <si>
    <t>A1 Rip (in)</t>
  </si>
  <si>
    <t>A2 Rip (in)</t>
  </si>
  <si>
    <t>A3 Rip (in)</t>
  </si>
  <si>
    <t>B1:B3 Rip (in)</t>
  </si>
  <si>
    <t>Bevel Radians:</t>
  </si>
  <si>
    <t>Cut To Length (in)</t>
  </si>
  <si>
    <t>Stencil</t>
  </si>
  <si>
    <t>Radial Arm Saw</t>
  </si>
  <si>
    <t>Drill Press</t>
  </si>
  <si>
    <t>Router</t>
  </si>
  <si>
    <t>45 Miter: A1-A3</t>
  </si>
  <si>
    <t>Dowel Bore w/ 9.5 degree Jig: B1-B3</t>
  </si>
  <si>
    <t>Dowel Bore into end grain: A1-A3</t>
  </si>
  <si>
    <t>Flute: A1-A3</t>
  </si>
  <si>
    <t>Xcut: Tops of A1-A3</t>
  </si>
  <si>
    <t>Xcut: Tops and Bottoms of B1-B3</t>
  </si>
  <si>
    <t>35.5 Miter: Tops of B1-B3</t>
  </si>
  <si>
    <t>1/4" Bit</t>
  </si>
  <si>
    <t>Right</t>
  </si>
  <si>
    <t>Left</t>
  </si>
  <si>
    <t>Inside</t>
  </si>
  <si>
    <t>Top</t>
  </si>
  <si>
    <t>Bottom</t>
  </si>
  <si>
    <t>Outside</t>
  </si>
  <si>
    <t>Tool</t>
  </si>
  <si>
    <t>Step</t>
  </si>
  <si>
    <t>Set Up</t>
  </si>
  <si>
    <t>Stave</t>
  </si>
  <si>
    <t>Face</t>
  </si>
  <si>
    <t>Pencil &amp; Tape Measure</t>
  </si>
  <si>
    <t>A &amp; B</t>
  </si>
  <si>
    <t>none</t>
  </si>
  <si>
    <t>30 degree bevel rip</t>
  </si>
  <si>
    <t>Rip: A1, A2, A3</t>
  </si>
  <si>
    <t>Right &amp; Left</t>
  </si>
  <si>
    <t>Rip: B1-B3</t>
  </si>
  <si>
    <t>90 degree Xcut</t>
  </si>
  <si>
    <t>Min Single Board Dimensions:</t>
  </si>
  <si>
    <t>Lengthwise Straight Edge Rip</t>
  </si>
  <si>
    <t>Conserve AMAP</t>
  </si>
  <si>
    <t>Number of Staves:</t>
  </si>
  <si>
    <t>Flare Radians:</t>
  </si>
  <si>
    <t>\ A1 /</t>
  </si>
  <si>
    <t>/ A2 \</t>
  </si>
  <si>
    <t>\ A3 /</t>
  </si>
  <si>
    <t>/B1:B3\</t>
  </si>
  <si>
    <t>Board 1 (in): [A1+A2+A3]</t>
  </si>
  <si>
    <t>Board 2 (in): [B1:B3]</t>
  </si>
  <si>
    <t>Board 1 (in): [A1+A2]</t>
  </si>
  <si>
    <t>Board 2 (in): [A3+B1:B3]</t>
  </si>
  <si>
    <t>Board 1 (in): [A1]</t>
  </si>
  <si>
    <t>Board 2 (in): [A2 +A3 + B1:B3]</t>
  </si>
  <si>
    <t>Stencil Crosscut Lines:</t>
  </si>
  <si>
    <t>Stencil Rip Lines:</t>
  </si>
  <si>
    <t>Widths for Multiple Boards:</t>
  </si>
  <si>
    <t>double check</t>
  </si>
  <si>
    <t>Glue Up:</t>
  </si>
  <si>
    <t>A2 - Finish Side Down</t>
  </si>
  <si>
    <t>B1:B3 - Finish Side Down</t>
  </si>
  <si>
    <t>Stencil Information</t>
  </si>
  <si>
    <t>Wood Type 1</t>
  </si>
  <si>
    <t>Wood Type 2</t>
  </si>
  <si>
    <t>Cost of Wood</t>
  </si>
  <si>
    <t>Wood Type 1 ($/in^3)</t>
  </si>
  <si>
    <t>Wood Type 2 ($/in^3)</t>
  </si>
  <si>
    <t>Note: A2 &amp; B1:B3 are oriented with finish side down when looking at stenciled face of board.</t>
  </si>
  <si>
    <t>Stenciled on Endgrain</t>
  </si>
  <si>
    <t>Stenciled on Face</t>
  </si>
  <si>
    <t>Volume of Each Wood Type (in^3)</t>
  </si>
  <si>
    <t>Board Thickness (in):</t>
  </si>
  <si>
    <t>Saw Blade Kerf (in):</t>
  </si>
  <si>
    <t>Horizontal Kerf (in):</t>
  </si>
  <si>
    <t>Extra Stave Width (in):</t>
  </si>
  <si>
    <t>Stave Dimensions</t>
  </si>
  <si>
    <t>Turned Shell OD - ID (in):</t>
  </si>
  <si>
    <t>Aspect Ratio (L/OD):</t>
  </si>
  <si>
    <t>Extra Stave Length (in):</t>
  </si>
  <si>
    <t>Drum Head Diameter (in)</t>
  </si>
  <si>
    <t>x</t>
  </si>
  <si>
    <r>
      <t>Degree of Flare (</t>
    </r>
    <r>
      <rPr>
        <b/>
        <sz val="11"/>
        <color theme="1"/>
        <rFont val="Calibri"/>
        <family val="2"/>
      </rPr>
      <t>φ</t>
    </r>
    <r>
      <rPr>
        <b/>
        <sz val="11"/>
        <color theme="1"/>
        <rFont val="Calibri"/>
        <family val="2"/>
        <scheme val="minor"/>
      </rPr>
      <t>):</t>
    </r>
  </si>
  <si>
    <t>Aspect Ratio (Height/OD):</t>
  </si>
  <si>
    <r>
      <t>Stave Bevel (</t>
    </r>
    <r>
      <rPr>
        <b/>
        <sz val="11"/>
        <color theme="1"/>
        <rFont val="Calibri"/>
        <family val="2"/>
      </rPr>
      <t>θ</t>
    </r>
    <r>
      <rPr>
        <b/>
        <sz val="11"/>
        <color theme="1"/>
        <rFont val="Calibri"/>
        <family val="2"/>
        <scheme val="minor"/>
      </rPr>
      <t>/2):</t>
    </r>
  </si>
  <si>
    <t>Head Inner Width (in)</t>
  </si>
  <si>
    <t>Head Outer Width (in)</t>
  </si>
  <si>
    <t>Base Inner Width (in)</t>
  </si>
  <si>
    <t>Base Outer Width (in)</t>
  </si>
  <si>
    <t>Nominal Base Diameter (in)</t>
  </si>
  <si>
    <t>Revision needed</t>
  </si>
  <si>
    <t>Slant Height (in)</t>
  </si>
  <si>
    <t>Perpendicular Build Height (in)</t>
  </si>
  <si>
    <t>Compound Miter Angle (inner)</t>
  </si>
  <si>
    <t>Volume of Each Type of Wood (in^3)</t>
  </si>
  <si>
    <t>Compound Miter (outer derived)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</si>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</sst>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164" formatCode="&quot;$&quot;#,##0.00"/>
    <numFmt numFmtId="165" formatCode="0.000"/>
    <numFmt numFmtId="166" formatCode="0.0000"/>
    <numFmt numFmtId="167" formatCode="_(&quot;$&quot;* #,##0.000_);_(&quot;$&quot;* \(#,##0.000\);_(&quot;$&quot;* &quot;-&quot;??_);_(@_)"/>
    <numFmt numFmtId="168" formatCode="0.0"/>
    <numFmt numFmtId="169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66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5">
    <xf numFmtId="0" fontId="0" fillId="0" borderId="0" xfId="0"/>
    <xf numFmtId="2" fontId="0" fillId="0" borderId="0" xfId="0" applyNumberFormat="1"/>
    <xf numFmtId="0" fontId="0" fillId="3" borderId="0" xfId="0" applyFill="1"/>
    <xf numFmtId="2" fontId="0" fillId="0" borderId="1" xfId="0" applyNumberFormat="1" applyBorder="1"/>
    <xf numFmtId="0" fontId="0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right"/>
    </xf>
    <xf numFmtId="2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2" fontId="0" fillId="7" borderId="1" xfId="0" applyNumberFormat="1" applyFill="1" applyBorder="1"/>
    <xf numFmtId="2" fontId="0" fillId="2" borderId="1" xfId="0" applyNumberFormat="1" applyFill="1" applyBorder="1"/>
    <xf numFmtId="12" fontId="0" fillId="2" borderId="1" xfId="0" applyNumberFormat="1" applyFill="1" applyBorder="1"/>
    <xf numFmtId="12" fontId="0" fillId="7" borderId="1" xfId="0" applyNumberFormat="1" applyFill="1" applyBorder="1" applyAlignment="1">
      <alignment horizontal="right"/>
    </xf>
    <xf numFmtId="1" fontId="0" fillId="4" borderId="1" xfId="0" applyNumberFormat="1" applyFill="1" applyBorder="1"/>
    <xf numFmtId="2" fontId="1" fillId="0" borderId="0" xfId="0" applyNumberFormat="1" applyFont="1" applyAlignment="1">
      <alignment horizontal="right"/>
    </xf>
    <xf numFmtId="2" fontId="1" fillId="0" borderId="1" xfId="0" applyNumberFormat="1" applyFont="1" applyBorder="1" applyAlignment="1">
      <alignment horizontal="right"/>
    </xf>
    <xf numFmtId="164" fontId="0" fillId="0" borderId="0" xfId="0" applyNumberFormat="1"/>
    <xf numFmtId="0" fontId="0" fillId="5" borderId="7" xfId="0" applyFill="1" applyBorder="1"/>
    <xf numFmtId="0" fontId="0" fillId="3" borderId="0" xfId="0" applyFill="1" applyBorder="1"/>
    <xf numFmtId="0" fontId="0" fillId="5" borderId="6" xfId="0" applyFill="1" applyBorder="1"/>
    <xf numFmtId="2" fontId="0" fillId="5" borderId="6" xfId="0" applyNumberFormat="1" applyFill="1" applyBorder="1"/>
    <xf numFmtId="2" fontId="0" fillId="6" borderId="6" xfId="0" applyNumberFormat="1" applyFill="1" applyBorder="1"/>
    <xf numFmtId="2" fontId="0" fillId="5" borderId="4" xfId="0" applyNumberFormat="1" applyFill="1" applyBorder="1"/>
    <xf numFmtId="2" fontId="0" fillId="6" borderId="4" xfId="0" applyNumberFormat="1" applyFill="1" applyBorder="1"/>
    <xf numFmtId="0" fontId="0" fillId="5" borderId="4" xfId="0" applyFill="1" applyBorder="1"/>
    <xf numFmtId="0" fontId="0" fillId="6" borderId="4" xfId="0" applyFill="1" applyBorder="1"/>
    <xf numFmtId="0" fontId="0" fillId="6" borderId="1" xfId="0" applyFill="1" applyBorder="1"/>
    <xf numFmtId="0" fontId="0" fillId="6" borderId="2" xfId="0" applyFill="1" applyBorder="1"/>
    <xf numFmtId="0" fontId="0" fillId="5" borderId="5" xfId="0" applyFill="1" applyBorder="1"/>
    <xf numFmtId="0" fontId="0" fillId="5" borderId="8" xfId="0" applyFill="1" applyBorder="1"/>
    <xf numFmtId="2" fontId="0" fillId="5" borderId="3" xfId="0" applyNumberFormat="1" applyFill="1" applyBorder="1"/>
    <xf numFmtId="0" fontId="0" fillId="6" borderId="5" xfId="0" applyFill="1" applyBorder="1"/>
    <xf numFmtId="12" fontId="0" fillId="8" borderId="1" xfId="0" applyNumberFormat="1" applyFill="1" applyBorder="1"/>
    <xf numFmtId="2" fontId="0" fillId="8" borderId="1" xfId="0" applyNumberFormat="1" applyFill="1" applyBorder="1"/>
    <xf numFmtId="1" fontId="0" fillId="8" borderId="1" xfId="0" applyNumberFormat="1" applyFill="1" applyBorder="1"/>
    <xf numFmtId="12" fontId="0" fillId="4" borderId="1" xfId="0" applyNumberFormat="1" applyFill="1" applyBorder="1"/>
    <xf numFmtId="2" fontId="0" fillId="5" borderId="5" xfId="0" applyNumberFormat="1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2" fontId="0" fillId="9" borderId="1" xfId="0" applyNumberFormat="1" applyFill="1" applyBorder="1"/>
    <xf numFmtId="1" fontId="0" fillId="9" borderId="1" xfId="0" applyNumberFormat="1" applyFill="1" applyBorder="1"/>
    <xf numFmtId="2" fontId="0" fillId="3" borderId="0" xfId="0" applyNumberFormat="1" applyFill="1" applyBorder="1" applyAlignment="1">
      <alignment horizontal="center"/>
    </xf>
    <xf numFmtId="0" fontId="0" fillId="3" borderId="1" xfId="0" applyFont="1" applyFill="1" applyBorder="1"/>
    <xf numFmtId="0" fontId="1" fillId="0" borderId="0" xfId="0" applyFont="1" applyBorder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164" fontId="0" fillId="3" borderId="1" xfId="1" applyNumberFormat="1" applyFont="1" applyFill="1" applyBorder="1"/>
    <xf numFmtId="164" fontId="0" fillId="3" borderId="1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5" fontId="0" fillId="0" borderId="0" xfId="0" applyNumberFormat="1"/>
    <xf numFmtId="167" fontId="0" fillId="0" borderId="1" xfId="1" applyNumberFormat="1" applyFont="1" applyBorder="1" applyAlignment="1">
      <alignment horizontal="right"/>
    </xf>
    <xf numFmtId="1" fontId="0" fillId="0" borderId="0" xfId="0" applyNumberFormat="1"/>
    <xf numFmtId="168" fontId="0" fillId="0" borderId="0" xfId="0" applyNumberFormat="1"/>
    <xf numFmtId="169" fontId="0" fillId="3" borderId="1" xfId="1" applyNumberFormat="1" applyFont="1" applyFill="1" applyBorder="1"/>
    <xf numFmtId="2" fontId="1" fillId="0" borderId="7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14" fontId="0" fillId="0" borderId="0" xfId="0" applyNumberFormat="1" applyAlignment="1">
      <alignment horizontal="right" wrapText="1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66FF"/>
      <color rgb="FF4ED25B"/>
      <color rgb="FF66CCFF"/>
      <color rgb="FFFF6600"/>
      <color rgb="FFFF9966"/>
      <color rgb="FFCC9900"/>
      <color rgb="FF66FF66"/>
      <color rgb="FF996600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Ashikos!$B$7:$M$7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</c:numCache>
            </c:numRef>
          </c:cat>
          <c:val>
            <c:numRef>
              <c:f>Ashikos!$B$8:$M$8</c:f>
              <c:numCache>
                <c:formatCode>0.00</c:formatCode>
                <c:ptCount val="12"/>
                <c:pt idx="0">
                  <c:v>9.7080000000000002</c:v>
                </c:pt>
                <c:pt idx="1">
                  <c:v>11.326000000000001</c:v>
                </c:pt>
                <c:pt idx="2">
                  <c:v>12.944000000000001</c:v>
                </c:pt>
                <c:pt idx="3">
                  <c:v>14.562000000000001</c:v>
                </c:pt>
                <c:pt idx="4">
                  <c:v>16.18</c:v>
                </c:pt>
                <c:pt idx="5">
                  <c:v>17.798000000000002</c:v>
                </c:pt>
                <c:pt idx="6">
                  <c:v>19.416</c:v>
                </c:pt>
                <c:pt idx="7">
                  <c:v>21.034000000000002</c:v>
                </c:pt>
                <c:pt idx="8">
                  <c:v>22.652000000000001</c:v>
                </c:pt>
                <c:pt idx="9">
                  <c:v>24.270000000000003</c:v>
                </c:pt>
                <c:pt idx="10">
                  <c:v>25.888000000000002</c:v>
                </c:pt>
                <c:pt idx="11">
                  <c:v>27.506</c:v>
                </c:pt>
              </c:numCache>
            </c:numRef>
          </c:val>
        </c:ser>
        <c:ser>
          <c:idx val="1"/>
          <c:order val="1"/>
          <c:tx>
            <c:v>Cost of Wood - AR:2.125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Ashikos!$B$7:$M$7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</c:numCache>
            </c:numRef>
          </c:cat>
          <c:val>
            <c:numRef>
              <c:f>Ashikos!$B$33:$M$33</c:f>
              <c:numCache>
                <c:formatCode>"$"#,##0</c:formatCode>
                <c:ptCount val="12"/>
                <c:pt idx="0">
                  <c:v>20.6</c:v>
                </c:pt>
                <c:pt idx="1">
                  <c:v>27.3</c:v>
                </c:pt>
                <c:pt idx="2">
                  <c:v>34.700000000000003</c:v>
                </c:pt>
                <c:pt idx="3">
                  <c:v>43.300000000000004</c:v>
                </c:pt>
                <c:pt idx="4">
                  <c:v>52.6</c:v>
                </c:pt>
                <c:pt idx="5">
                  <c:v>62.9</c:v>
                </c:pt>
                <c:pt idx="6">
                  <c:v>74.099999999999994</c:v>
                </c:pt>
                <c:pt idx="7">
                  <c:v>86.1</c:v>
                </c:pt>
                <c:pt idx="8">
                  <c:v>99.199999999999989</c:v>
                </c:pt>
                <c:pt idx="9">
                  <c:v>113.1</c:v>
                </c:pt>
                <c:pt idx="10">
                  <c:v>127.69999999999999</c:v>
                </c:pt>
                <c:pt idx="11">
                  <c:v>144.19999999999999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164256"/>
        <c:axId val="255163080"/>
      </c:barChart>
      <c:catAx>
        <c:axId val="2551642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163080"/>
        <c:crosses val="autoZero"/>
        <c:auto val="1"/>
        <c:lblAlgn val="ctr"/>
        <c:lblOffset val="100"/>
        <c:noMultiLvlLbl val="0"/>
      </c:catAx>
      <c:valAx>
        <c:axId val="25516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16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190500</xdr:colOff>
      <xdr:row>20</xdr:row>
      <xdr:rowOff>114300</xdr:rowOff>
    </xdr:from>
    <xdr:to>
      <xdr:col>24</xdr:col>
      <xdr:colOff>495300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9"/>
  <sheetViews>
    <sheetView workbookViewId="0">
      <selection activeCell="J8" sqref="J8"/>
    </sheetView>
  </sheetViews>
  <sheetFormatPr defaultColWidth="8.85546875" defaultRowHeight="15" x14ac:dyDescent="0.25"/>
  <cols>
    <col min="1" max="1" width="32.42578125" style="5" customWidth="1"/>
    <col min="2" max="2" width="8.42578125" style="1" bestFit="1" customWidth="1"/>
    <col min="3" max="4" width="6.7109375" style="1" bestFit="1" customWidth="1"/>
    <col min="5" max="5" width="7.42578125" style="1" bestFit="1" customWidth="1"/>
    <col min="6" max="6" width="8" style="1" bestFit="1" customWidth="1"/>
    <col min="7" max="7" width="6.42578125" style="1" bestFit="1" customWidth="1"/>
    <col min="8" max="8" width="7.42578125" style="1" bestFit="1" customWidth="1"/>
    <col min="9" max="9" width="8.85546875" style="1" bestFit="1" customWidth="1"/>
    <col min="10" max="10" width="8" style="1" bestFit="1" customWidth="1"/>
    <col min="11" max="13" width="6.42578125" style="1" bestFit="1" customWidth="1"/>
  </cols>
  <sheetData>
    <row r="1" spans="1:14" x14ac:dyDescent="0.25">
      <c r="A1" s="6" t="s">
        <v>83</v>
      </c>
      <c r="B1" s="40">
        <v>0.75</v>
      </c>
      <c r="C1" s="61" t="s">
        <v>84</v>
      </c>
      <c r="D1" s="63"/>
      <c r="E1" s="63"/>
      <c r="F1" s="42">
        <v>9.5000000000000001E-2</v>
      </c>
      <c r="G1" s="60" t="s">
        <v>85</v>
      </c>
      <c r="H1" s="60"/>
      <c r="I1" s="60"/>
      <c r="J1" s="43">
        <f>F1/COS(J2)</f>
        <v>9.6861160029790241E-2</v>
      </c>
      <c r="L1" s="62">
        <f ca="1">NOW()</f>
        <v>41400.728946643518</v>
      </c>
      <c r="M1" s="62"/>
    </row>
    <row r="2" spans="1:14" x14ac:dyDescent="0.25">
      <c r="A2" s="16" t="s">
        <v>54</v>
      </c>
      <c r="B2" s="41">
        <v>16</v>
      </c>
      <c r="C2" s="61" t="s">
        <v>95</v>
      </c>
      <c r="D2" s="61"/>
      <c r="E2" s="61"/>
      <c r="F2" s="40">
        <f>180/B2</f>
        <v>11.25</v>
      </c>
      <c r="G2" s="61" t="s">
        <v>18</v>
      </c>
      <c r="H2" s="61"/>
      <c r="I2" s="61"/>
      <c r="J2" s="43">
        <f>F2*PI()/180</f>
        <v>0.19634954084936207</v>
      </c>
    </row>
    <row r="3" spans="1:14" x14ac:dyDescent="0.25">
      <c r="A3" s="16" t="s">
        <v>94</v>
      </c>
      <c r="B3" s="54">
        <v>1.6180000000000001</v>
      </c>
      <c r="C3" s="61" t="s">
        <v>86</v>
      </c>
      <c r="D3" s="61"/>
      <c r="E3" s="61"/>
      <c r="F3" s="40">
        <v>0</v>
      </c>
      <c r="G3" s="64" t="s">
        <v>90</v>
      </c>
      <c r="H3" s="64"/>
      <c r="I3" s="64"/>
      <c r="J3" s="40">
        <v>0.5</v>
      </c>
      <c r="K3"/>
      <c r="L3"/>
      <c r="M3"/>
    </row>
    <row r="4" spans="1:14" x14ac:dyDescent="0.25">
      <c r="A4" s="16" t="s">
        <v>93</v>
      </c>
      <c r="B4" s="40">
        <v>9.5</v>
      </c>
      <c r="C4" s="61" t="s">
        <v>55</v>
      </c>
      <c r="D4" s="61"/>
      <c r="E4" s="61"/>
      <c r="F4" s="43">
        <f>B4*PI()/180</f>
        <v>0.16580627893946129</v>
      </c>
    </row>
    <row r="5" spans="1:14" x14ac:dyDescent="0.25">
      <c r="A5" s="6" t="s">
        <v>88</v>
      </c>
      <c r="B5" s="3">
        <v>0.5</v>
      </c>
      <c r="C5" s="61" t="s">
        <v>77</v>
      </c>
      <c r="D5" s="61"/>
      <c r="E5" s="61"/>
      <c r="F5" s="55">
        <v>0.128</v>
      </c>
      <c r="G5" s="61" t="s">
        <v>78</v>
      </c>
      <c r="H5" s="61"/>
      <c r="I5" s="61"/>
      <c r="J5" s="55">
        <v>0.111</v>
      </c>
    </row>
    <row r="6" spans="1:14" x14ac:dyDescent="0.25">
      <c r="E6" s="15"/>
      <c r="F6" s="7"/>
      <c r="G6" s="15"/>
      <c r="H6" s="8"/>
    </row>
    <row r="7" spans="1:14" x14ac:dyDescent="0.25">
      <c r="A7" s="9" t="s">
        <v>91</v>
      </c>
      <c r="B7" s="53">
        <v>6</v>
      </c>
      <c r="C7" s="53">
        <v>7</v>
      </c>
      <c r="D7" s="53">
        <v>8</v>
      </c>
      <c r="E7" s="53">
        <v>9</v>
      </c>
      <c r="F7" s="53">
        <v>10</v>
      </c>
      <c r="G7" s="53">
        <v>11</v>
      </c>
      <c r="H7" s="53">
        <v>12</v>
      </c>
      <c r="I7" s="53">
        <v>13</v>
      </c>
      <c r="J7" s="53">
        <v>14</v>
      </c>
      <c r="K7" s="53">
        <v>15</v>
      </c>
      <c r="L7" s="53">
        <v>16</v>
      </c>
      <c r="M7" s="53">
        <v>17</v>
      </c>
    </row>
    <row r="8" spans="1:14" x14ac:dyDescent="0.25">
      <c r="A8" s="4" t="s">
        <v>103</v>
      </c>
      <c r="B8" s="3">
        <f>$B$3*B7</f>
        <v>9.7080000000000002</v>
      </c>
      <c r="C8" s="3">
        <f t="shared" ref="C8:M8" si="0">$B$3*C7</f>
        <v>11.326000000000001</v>
      </c>
      <c r="D8" s="3">
        <f t="shared" si="0"/>
        <v>12.944000000000001</v>
      </c>
      <c r="E8" s="3">
        <f t="shared" si="0"/>
        <v>14.562000000000001</v>
      </c>
      <c r="F8" s="3">
        <f t="shared" si="0"/>
        <v>16.18</v>
      </c>
      <c r="G8" s="3">
        <f t="shared" si="0"/>
        <v>17.798000000000002</v>
      </c>
      <c r="H8" s="3">
        <f t="shared" si="0"/>
        <v>19.416</v>
      </c>
      <c r="I8" s="3">
        <f t="shared" si="0"/>
        <v>21.034000000000002</v>
      </c>
      <c r="J8" s="3">
        <f t="shared" si="0"/>
        <v>22.652000000000001</v>
      </c>
      <c r="K8" s="3">
        <f t="shared" si="0"/>
        <v>24.270000000000003</v>
      </c>
      <c r="L8" s="3">
        <f t="shared" si="0"/>
        <v>25.888000000000002</v>
      </c>
      <c r="M8" s="3">
        <f t="shared" si="0"/>
        <v>27.506</v>
      </c>
    </row>
    <row r="9" spans="1:14" x14ac:dyDescent="0.25">
      <c r="A9" s="4" t="s">
        <v>100</v>
      </c>
      <c r="B9" s="3">
        <f>(B7-$B$5)-(2*B8*TAN($F$4))</f>
        <v>2.2508759020751583</v>
      </c>
      <c r="C9" s="3">
        <f t="shared" ref="C9:M9" si="1">(C7-$B$5)-(2*C8*TAN($F$4))</f>
        <v>2.7093552190876844</v>
      </c>
      <c r="D9" s="3">
        <f t="shared" si="1"/>
        <v>3.1678345361002105</v>
      </c>
      <c r="E9" s="3">
        <f t="shared" si="1"/>
        <v>3.6263138531127366</v>
      </c>
      <c r="F9" s="3">
        <f t="shared" si="1"/>
        <v>4.0847931701252636</v>
      </c>
      <c r="G9" s="3">
        <f t="shared" si="1"/>
        <v>4.5432724871377896</v>
      </c>
      <c r="H9" s="3">
        <f t="shared" si="1"/>
        <v>5.0017518041503166</v>
      </c>
      <c r="I9" s="3">
        <f t="shared" si="1"/>
        <v>5.4602311211628418</v>
      </c>
      <c r="J9" s="3">
        <f t="shared" si="1"/>
        <v>5.9187104381753688</v>
      </c>
      <c r="K9" s="3">
        <f t="shared" si="1"/>
        <v>6.377189755187894</v>
      </c>
      <c r="L9" s="3">
        <f t="shared" si="1"/>
        <v>6.835669072200421</v>
      </c>
      <c r="M9" s="3">
        <f t="shared" si="1"/>
        <v>7.2941483892129479</v>
      </c>
    </row>
    <row r="10" spans="1:14" x14ac:dyDescent="0.25">
      <c r="A10" s="49" t="s">
        <v>87</v>
      </c>
    </row>
    <row r="11" spans="1:14" x14ac:dyDescent="0.25">
      <c r="A11" s="47" t="s">
        <v>102</v>
      </c>
      <c r="B11" s="10">
        <f t="shared" ref="B11:M11" si="2">(B8)/COS($F$4)</f>
        <v>9.8429906964768072</v>
      </c>
      <c r="C11" s="10">
        <f t="shared" si="2"/>
        <v>11.483489145889608</v>
      </c>
      <c r="D11" s="10">
        <f t="shared" si="2"/>
        <v>13.12398759530241</v>
      </c>
      <c r="E11" s="10">
        <f t="shared" si="2"/>
        <v>14.764486044715211</v>
      </c>
      <c r="F11" s="10">
        <f t="shared" si="2"/>
        <v>16.404984494128012</v>
      </c>
      <c r="G11" s="10">
        <f t="shared" si="2"/>
        <v>18.045482943540815</v>
      </c>
      <c r="H11" s="10">
        <f t="shared" si="2"/>
        <v>19.685981392953614</v>
      </c>
      <c r="I11" s="10">
        <f t="shared" si="2"/>
        <v>21.326479842366417</v>
      </c>
      <c r="J11" s="10">
        <f t="shared" si="2"/>
        <v>22.966978291779217</v>
      </c>
      <c r="K11" s="10">
        <f t="shared" si="2"/>
        <v>24.60747674119202</v>
      </c>
      <c r="L11" s="10">
        <f t="shared" si="2"/>
        <v>26.247975190604819</v>
      </c>
      <c r="M11" s="10">
        <f t="shared" si="2"/>
        <v>27.888473640017619</v>
      </c>
      <c r="N11" t="s">
        <v>92</v>
      </c>
    </row>
    <row r="12" spans="1:14" x14ac:dyDescent="0.25">
      <c r="A12" s="47" t="s">
        <v>19</v>
      </c>
      <c r="B12" s="13">
        <f t="shared" ref="B12:M12" si="3">CEILING(B11+$J$3, 0.125)</f>
        <v>10.375</v>
      </c>
      <c r="C12" s="13">
        <f t="shared" si="3"/>
        <v>12</v>
      </c>
      <c r="D12" s="13">
        <f t="shared" si="3"/>
        <v>13.625</v>
      </c>
      <c r="E12" s="13">
        <f t="shared" si="3"/>
        <v>15.375</v>
      </c>
      <c r="F12" s="13">
        <f t="shared" si="3"/>
        <v>17</v>
      </c>
      <c r="G12" s="13">
        <f t="shared" si="3"/>
        <v>18.625</v>
      </c>
      <c r="H12" s="13">
        <f t="shared" si="3"/>
        <v>20.25</v>
      </c>
      <c r="I12" s="13">
        <f t="shared" si="3"/>
        <v>21.875</v>
      </c>
      <c r="J12" s="13">
        <f t="shared" si="3"/>
        <v>23.5</v>
      </c>
      <c r="K12" s="13">
        <f t="shared" si="3"/>
        <v>25.125</v>
      </c>
      <c r="L12" s="13">
        <f t="shared" si="3"/>
        <v>26.75</v>
      </c>
      <c r="M12" s="13">
        <f t="shared" si="3"/>
        <v>28.5</v>
      </c>
      <c r="N12" t="s">
        <v>92</v>
      </c>
    </row>
    <row r="13" spans="1:14" x14ac:dyDescent="0.25">
      <c r="A13" s="47" t="s">
        <v>96</v>
      </c>
      <c r="B13" s="10">
        <f t="shared" ref="B13:M13" si="4">(B7-$B$5)*SIN($J$2)</f>
        <v>1.0729967710887054</v>
      </c>
      <c r="C13" s="10">
        <f t="shared" si="4"/>
        <v>1.2680870931048336</v>
      </c>
      <c r="D13" s="10">
        <f t="shared" si="4"/>
        <v>1.4631774151209618</v>
      </c>
      <c r="E13" s="10">
        <f t="shared" si="4"/>
        <v>1.6582677371370902</v>
      </c>
      <c r="F13" s="10">
        <f t="shared" si="4"/>
        <v>1.8533580591532184</v>
      </c>
      <c r="G13" s="10">
        <f t="shared" si="4"/>
        <v>2.0484483811693468</v>
      </c>
      <c r="H13" s="10">
        <f t="shared" si="4"/>
        <v>2.2435387031854748</v>
      </c>
      <c r="I13" s="10">
        <f t="shared" si="4"/>
        <v>2.4386290252016032</v>
      </c>
      <c r="J13" s="10">
        <f t="shared" si="4"/>
        <v>2.6337193472177312</v>
      </c>
      <c r="K13" s="10">
        <f t="shared" si="4"/>
        <v>2.8288096692338596</v>
      </c>
      <c r="L13" s="10">
        <f t="shared" si="4"/>
        <v>3.023899991249988</v>
      </c>
      <c r="M13" s="10">
        <f t="shared" si="4"/>
        <v>3.218990313266116</v>
      </c>
    </row>
    <row r="14" spans="1:14" x14ac:dyDescent="0.25">
      <c r="A14" s="47" t="s">
        <v>97</v>
      </c>
      <c r="B14" s="10">
        <f>2*(($B$1/COS($F$4))*TAN($J$2)+((B7-$B$5)/2)*SIN($J$2))</f>
        <v>1.3755141662574555</v>
      </c>
      <c r="C14" s="10">
        <f t="shared" ref="C14:M14" si="5">2*(($B$1/COS($F$4))*TAN($J$2)+((C7-$B$5)/2)*SIN($J$2))</f>
        <v>1.5706044882735837</v>
      </c>
      <c r="D14" s="10">
        <f t="shared" si="5"/>
        <v>1.7656948102897119</v>
      </c>
      <c r="E14" s="10">
        <f t="shared" si="5"/>
        <v>1.9607851323058403</v>
      </c>
      <c r="F14" s="10">
        <f t="shared" si="5"/>
        <v>2.1558754543219685</v>
      </c>
      <c r="G14" s="10">
        <f t="shared" si="5"/>
        <v>2.3509657763380969</v>
      </c>
      <c r="H14" s="10">
        <f t="shared" si="5"/>
        <v>2.5460560983542249</v>
      </c>
      <c r="I14" s="10">
        <f t="shared" si="5"/>
        <v>2.7411464203703533</v>
      </c>
      <c r="J14" s="10">
        <f t="shared" si="5"/>
        <v>2.9362367423864812</v>
      </c>
      <c r="K14" s="10">
        <f t="shared" si="5"/>
        <v>3.1313270644026097</v>
      </c>
      <c r="L14" s="10">
        <f t="shared" si="5"/>
        <v>3.3264173864187381</v>
      </c>
      <c r="M14" s="10">
        <f t="shared" si="5"/>
        <v>3.521507708434866</v>
      </c>
    </row>
    <row r="15" spans="1:14" x14ac:dyDescent="0.25">
      <c r="A15" s="47" t="s">
        <v>98</v>
      </c>
      <c r="B15" s="10">
        <f>(B9)*SIN($J$2)</f>
        <v>0.43912410455418577</v>
      </c>
      <c r="C15" s="10">
        <f t="shared" ref="C15:M15" si="6">(C9)*SIN($J$2)</f>
        <v>0.52856898214789405</v>
      </c>
      <c r="D15" s="10">
        <f t="shared" si="6"/>
        <v>0.61801385974160228</v>
      </c>
      <c r="E15" s="10">
        <f t="shared" si="6"/>
        <v>0.70745873733531062</v>
      </c>
      <c r="F15" s="10">
        <f t="shared" si="6"/>
        <v>0.79690361492901896</v>
      </c>
      <c r="G15" s="10">
        <f t="shared" si="6"/>
        <v>0.88634849252272729</v>
      </c>
      <c r="H15" s="10">
        <f t="shared" si="6"/>
        <v>0.97579337011643574</v>
      </c>
      <c r="I15" s="10">
        <f t="shared" si="6"/>
        <v>1.0652382477101439</v>
      </c>
      <c r="J15" s="10">
        <f t="shared" si="6"/>
        <v>1.1546831253038523</v>
      </c>
      <c r="K15" s="10">
        <f t="shared" si="6"/>
        <v>1.2441280028975603</v>
      </c>
      <c r="L15" s="10">
        <f t="shared" si="6"/>
        <v>1.3335728804912688</v>
      </c>
      <c r="M15" s="10">
        <f t="shared" si="6"/>
        <v>1.4230177580849772</v>
      </c>
      <c r="N15" t="s">
        <v>92</v>
      </c>
    </row>
    <row r="16" spans="1:14" x14ac:dyDescent="0.25">
      <c r="A16" s="47" t="s">
        <v>99</v>
      </c>
      <c r="B16" s="10">
        <f>2*(($B$1/COS($F$4))*TAN($J$2)+(B9/2)*SIN($J$2))</f>
        <v>0.74164149972293592</v>
      </c>
      <c r="C16" s="10">
        <f t="shared" ref="C16:M16" si="7">2*(($B$1/COS($F$4))*TAN($J$2)+(C9/2)*SIN($J$2))</f>
        <v>0.83108637731664414</v>
      </c>
      <c r="D16" s="10">
        <f t="shared" si="7"/>
        <v>0.92053125491035237</v>
      </c>
      <c r="E16" s="10">
        <f t="shared" si="7"/>
        <v>1.0099761325040606</v>
      </c>
      <c r="F16" s="10">
        <f t="shared" si="7"/>
        <v>1.099421010097769</v>
      </c>
      <c r="G16" s="10">
        <f t="shared" si="7"/>
        <v>1.1888658876914775</v>
      </c>
      <c r="H16" s="10">
        <f t="shared" si="7"/>
        <v>1.2783107652851857</v>
      </c>
      <c r="I16" s="10">
        <f t="shared" si="7"/>
        <v>1.367755642878894</v>
      </c>
      <c r="J16" s="10">
        <f t="shared" si="7"/>
        <v>1.4572005204726024</v>
      </c>
      <c r="K16" s="10">
        <f t="shared" si="7"/>
        <v>1.5466453980663104</v>
      </c>
      <c r="L16" s="10">
        <f t="shared" si="7"/>
        <v>1.6360902756600189</v>
      </c>
      <c r="M16" s="10">
        <f t="shared" si="7"/>
        <v>1.7255351532537273</v>
      </c>
    </row>
    <row r="17" spans="1:14" x14ac:dyDescent="0.25">
      <c r="A17" s="47" t="s">
        <v>106</v>
      </c>
      <c r="B17" s="10">
        <f>2*ATAN(RADIANS(B11/((B14-B16)/2)))</f>
        <v>0.99342478199658257</v>
      </c>
      <c r="C17" s="10">
        <f t="shared" ref="C17:M17" si="8">ATAN(RADIANS(C11/((C14-C16)/2)))</f>
        <v>0.49671239099829129</v>
      </c>
      <c r="D17" s="10">
        <f t="shared" si="8"/>
        <v>0.49671239099829129</v>
      </c>
      <c r="E17" s="10">
        <f t="shared" si="8"/>
        <v>0.49671239099829112</v>
      </c>
      <c r="F17" s="10">
        <f t="shared" si="8"/>
        <v>0.49671239099829129</v>
      </c>
      <c r="G17" s="10">
        <f t="shared" si="8"/>
        <v>0.49671239099829129</v>
      </c>
      <c r="H17" s="10">
        <f t="shared" si="8"/>
        <v>0.49671239099829129</v>
      </c>
      <c r="I17" s="10">
        <f t="shared" si="8"/>
        <v>0.49671239099829129</v>
      </c>
      <c r="J17" s="10">
        <f t="shared" si="8"/>
        <v>0.4967123909982914</v>
      </c>
      <c r="K17" s="10">
        <f t="shared" si="8"/>
        <v>0.49671239099829129</v>
      </c>
      <c r="L17" s="10">
        <f t="shared" si="8"/>
        <v>0.49671239099829123</v>
      </c>
      <c r="M17" s="10">
        <f t="shared" si="8"/>
        <v>0.49671239099829129</v>
      </c>
      <c r="N17" t="s">
        <v>107</v>
      </c>
    </row>
    <row r="18" spans="1:14" x14ac:dyDescent="0.25">
      <c r="A18" s="47" t="s">
        <v>104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4" x14ac:dyDescent="0.25">
      <c r="A19" s="49" t="s">
        <v>67</v>
      </c>
    </row>
    <row r="20" spans="1:14" x14ac:dyDescent="0.25">
      <c r="A20" s="47" t="s">
        <v>14</v>
      </c>
      <c r="B20" s="11">
        <f t="shared" ref="B20:M20" si="9">B14+$F$3</f>
        <v>1.3755141662574555</v>
      </c>
      <c r="C20" s="11">
        <f t="shared" si="9"/>
        <v>1.5706044882735837</v>
      </c>
      <c r="D20" s="11">
        <f t="shared" si="9"/>
        <v>1.7656948102897119</v>
      </c>
      <c r="E20" s="11">
        <f t="shared" si="9"/>
        <v>1.9607851323058403</v>
      </c>
      <c r="F20" s="11">
        <f t="shared" si="9"/>
        <v>2.1558754543219685</v>
      </c>
      <c r="G20" s="11">
        <f t="shared" si="9"/>
        <v>2.3509657763380969</v>
      </c>
      <c r="H20" s="11">
        <f t="shared" si="9"/>
        <v>2.5460560983542249</v>
      </c>
      <c r="I20" s="11">
        <f t="shared" si="9"/>
        <v>2.7411464203703533</v>
      </c>
      <c r="J20" s="11">
        <f t="shared" si="9"/>
        <v>2.9362367423864812</v>
      </c>
      <c r="K20" s="11">
        <f t="shared" si="9"/>
        <v>3.1313270644026097</v>
      </c>
      <c r="L20" s="11">
        <f t="shared" si="9"/>
        <v>3.3264173864187381</v>
      </c>
      <c r="M20" s="11">
        <f t="shared" si="9"/>
        <v>3.521507708434866</v>
      </c>
    </row>
    <row r="21" spans="1:14" x14ac:dyDescent="0.25">
      <c r="A21" s="47" t="s">
        <v>15</v>
      </c>
      <c r="B21" s="11" t="e">
        <f>B20+#REF!+$F$3+$J$1</f>
        <v>#REF!</v>
      </c>
      <c r="C21" s="11" t="e">
        <f>C20+#REF!+$F$3+$J$1</f>
        <v>#REF!</v>
      </c>
      <c r="D21" s="11" t="e">
        <f>D20+#REF!+$F$3+$J$1</f>
        <v>#REF!</v>
      </c>
      <c r="E21" s="11" t="e">
        <f>E20+#REF!+$F$3+$J$1</f>
        <v>#REF!</v>
      </c>
      <c r="F21" s="11" t="e">
        <f>F20+#REF!+$F$3+$J$1</f>
        <v>#REF!</v>
      </c>
      <c r="G21" s="11" t="e">
        <f>G20+#REF!+$F$3+$J$1</f>
        <v>#REF!</v>
      </c>
      <c r="H21" s="11" t="e">
        <f>H20+#REF!+$F$3+$J$1</f>
        <v>#REF!</v>
      </c>
      <c r="I21" s="11" t="e">
        <f>I20+#REF!+$F$3+$J$1</f>
        <v>#REF!</v>
      </c>
      <c r="J21" s="11" t="e">
        <f>J20+#REF!+$F$3+$J$1</f>
        <v>#REF!</v>
      </c>
      <c r="K21" s="11" t="e">
        <f>K20+#REF!+$F$3+$J$1</f>
        <v>#REF!</v>
      </c>
      <c r="L21" s="11" t="e">
        <f>L20+#REF!+$F$3+$J$1</f>
        <v>#REF!</v>
      </c>
      <c r="M21" s="11" t="e">
        <f>M20+#REF!+$F$3+$J$1</f>
        <v>#REF!</v>
      </c>
    </row>
    <row r="22" spans="1:14" x14ac:dyDescent="0.25">
      <c r="A22" s="47" t="s">
        <v>16</v>
      </c>
      <c r="B22" s="11" t="e">
        <f>B20*2+2*$J$1+#REF!+$F$3</f>
        <v>#REF!</v>
      </c>
      <c r="C22" s="11" t="e">
        <f>C20*2+2*$J$1+#REF!+$F$3</f>
        <v>#REF!</v>
      </c>
      <c r="D22" s="11" t="e">
        <f>D20*2+2*$J$1+#REF!+$F$3</f>
        <v>#REF!</v>
      </c>
      <c r="E22" s="11" t="e">
        <f>E20*2+2*$J$1+#REF!+$F$3</f>
        <v>#REF!</v>
      </c>
      <c r="F22" s="11" t="e">
        <f>F20*2+2*$J$1+#REF!+$F$3</f>
        <v>#REF!</v>
      </c>
      <c r="G22" s="11" t="e">
        <f>G20*2+2*$J$1+#REF!+$F$3</f>
        <v>#REF!</v>
      </c>
      <c r="H22" s="11" t="e">
        <f>H20*2+2*$J$1+#REF!+$F$3</f>
        <v>#REF!</v>
      </c>
      <c r="I22" s="11" t="e">
        <f>I20*2+2*$J$1+#REF!+$F$3</f>
        <v>#REF!</v>
      </c>
      <c r="J22" s="11" t="e">
        <f>J20*2+2*$J$1+#REF!+$F$3</f>
        <v>#REF!</v>
      </c>
      <c r="K22" s="11" t="e">
        <f>K20*2+2*$J$1+#REF!+$F$3</f>
        <v>#REF!</v>
      </c>
      <c r="L22" s="11" t="e">
        <f>L20*2+2*$J$1+#REF!+$F$3</f>
        <v>#REF!</v>
      </c>
      <c r="M22" s="11" t="e">
        <f>M20*2+2*$J$1+#REF!+$F$3</f>
        <v>#REF!</v>
      </c>
    </row>
    <row r="23" spans="1:14" x14ac:dyDescent="0.25">
      <c r="A23" s="47" t="s">
        <v>17</v>
      </c>
      <c r="B23" s="10" t="e">
        <f t="shared" ref="B23:M23" si="10">B22+B14+$J$1+$F$3</f>
        <v>#REF!</v>
      </c>
      <c r="C23" s="10" t="e">
        <f t="shared" si="10"/>
        <v>#REF!</v>
      </c>
      <c r="D23" s="10" t="e">
        <f t="shared" si="10"/>
        <v>#REF!</v>
      </c>
      <c r="E23" s="10" t="e">
        <f t="shared" si="10"/>
        <v>#REF!</v>
      </c>
      <c r="F23" s="10" t="e">
        <f t="shared" si="10"/>
        <v>#REF!</v>
      </c>
      <c r="G23" s="10" t="e">
        <f t="shared" si="10"/>
        <v>#REF!</v>
      </c>
      <c r="H23" s="10" t="e">
        <f t="shared" si="10"/>
        <v>#REF!</v>
      </c>
      <c r="I23" s="10" t="e">
        <f t="shared" si="10"/>
        <v>#REF!</v>
      </c>
      <c r="J23" s="10" t="e">
        <f t="shared" si="10"/>
        <v>#REF!</v>
      </c>
      <c r="K23" s="10" t="e">
        <f t="shared" si="10"/>
        <v>#REF!</v>
      </c>
      <c r="L23" s="10" t="e">
        <f t="shared" si="10"/>
        <v>#REF!</v>
      </c>
      <c r="M23" s="10" t="e">
        <f t="shared" si="10"/>
        <v>#REF!</v>
      </c>
    </row>
    <row r="24" spans="1:14" s="2" customFormat="1" x14ac:dyDescent="0.25">
      <c r="A24" s="49" t="s">
        <v>66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4" x14ac:dyDescent="0.25">
      <c r="A25" s="47" t="s">
        <v>13</v>
      </c>
      <c r="B25" s="12" t="e">
        <f>#REF!</f>
        <v>#REF!</v>
      </c>
      <c r="C25" s="12" t="e">
        <f>#REF!</f>
        <v>#REF!</v>
      </c>
      <c r="D25" s="12" t="e">
        <f>#REF!</f>
        <v>#REF!</v>
      </c>
      <c r="E25" s="12" t="e">
        <f>#REF!</f>
        <v>#REF!</v>
      </c>
      <c r="F25" s="12" t="e">
        <f>#REF!</f>
        <v>#REF!</v>
      </c>
      <c r="G25" s="12" t="e">
        <f>#REF!</f>
        <v>#REF!</v>
      </c>
      <c r="H25" s="12" t="e">
        <f>#REF!</f>
        <v>#REF!</v>
      </c>
      <c r="I25" s="12" t="e">
        <f>#REF!</f>
        <v>#REF!</v>
      </c>
      <c r="J25" s="12" t="e">
        <f>#REF!</f>
        <v>#REF!</v>
      </c>
      <c r="K25" s="12" t="e">
        <f>#REF!</f>
        <v>#REF!</v>
      </c>
      <c r="L25" s="12" t="e">
        <f>#REF!</f>
        <v>#REF!</v>
      </c>
      <c r="M25" s="12" t="e">
        <f>#REF!</f>
        <v>#REF!</v>
      </c>
    </row>
    <row r="26" spans="1:14" x14ac:dyDescent="0.25">
      <c r="A26" s="47" t="s">
        <v>4</v>
      </c>
      <c r="B26" s="10">
        <f t="shared" ref="B26:M26" si="11">B12</f>
        <v>10.375</v>
      </c>
      <c r="C26" s="10">
        <f t="shared" si="11"/>
        <v>12</v>
      </c>
      <c r="D26" s="10">
        <f t="shared" si="11"/>
        <v>13.625</v>
      </c>
      <c r="E26" s="10">
        <f t="shared" si="11"/>
        <v>15.375</v>
      </c>
      <c r="F26" s="10">
        <f t="shared" si="11"/>
        <v>17</v>
      </c>
      <c r="G26" s="10">
        <f t="shared" si="11"/>
        <v>18.625</v>
      </c>
      <c r="H26" s="10">
        <f t="shared" si="11"/>
        <v>20.25</v>
      </c>
      <c r="I26" s="10">
        <f t="shared" si="11"/>
        <v>21.875</v>
      </c>
      <c r="J26" s="10">
        <f t="shared" si="11"/>
        <v>23.5</v>
      </c>
      <c r="K26" s="10">
        <f t="shared" si="11"/>
        <v>25.125</v>
      </c>
      <c r="L26" s="10">
        <f t="shared" si="11"/>
        <v>26.75</v>
      </c>
      <c r="M26" s="10">
        <f t="shared" si="11"/>
        <v>28.5</v>
      </c>
    </row>
    <row r="27" spans="1:14" x14ac:dyDescent="0.25">
      <c r="A27" s="47" t="s">
        <v>5</v>
      </c>
      <c r="B27" s="10">
        <f t="shared" ref="B27:M27" si="12">B26*2 + $F$1</f>
        <v>20.844999999999999</v>
      </c>
      <c r="C27" s="10">
        <f t="shared" si="12"/>
        <v>24.094999999999999</v>
      </c>
      <c r="D27" s="10">
        <f t="shared" si="12"/>
        <v>27.344999999999999</v>
      </c>
      <c r="E27" s="10">
        <f t="shared" si="12"/>
        <v>30.844999999999999</v>
      </c>
      <c r="F27" s="10">
        <f t="shared" si="12"/>
        <v>34.094999999999999</v>
      </c>
      <c r="G27" s="10">
        <f t="shared" si="12"/>
        <v>37.344999999999999</v>
      </c>
      <c r="H27" s="10">
        <f t="shared" si="12"/>
        <v>40.594999999999999</v>
      </c>
      <c r="I27" s="10">
        <f t="shared" si="12"/>
        <v>43.844999999999999</v>
      </c>
      <c r="J27" s="10">
        <f t="shared" si="12"/>
        <v>47.094999999999999</v>
      </c>
      <c r="K27" s="10">
        <f t="shared" si="12"/>
        <v>50.344999999999999</v>
      </c>
      <c r="L27" s="10">
        <f t="shared" si="12"/>
        <v>53.594999999999999</v>
      </c>
      <c r="M27" s="10">
        <f t="shared" si="12"/>
        <v>57.094999999999999</v>
      </c>
    </row>
    <row r="28" spans="1:14" x14ac:dyDescent="0.25">
      <c r="A28" s="47" t="s">
        <v>6</v>
      </c>
      <c r="B28" s="10">
        <f t="shared" ref="B28:M28" si="13">B26*3+2*$F$1</f>
        <v>31.315000000000001</v>
      </c>
      <c r="C28" s="10">
        <f t="shared" si="13"/>
        <v>36.19</v>
      </c>
      <c r="D28" s="10">
        <f t="shared" si="13"/>
        <v>41.064999999999998</v>
      </c>
      <c r="E28" s="10">
        <f t="shared" si="13"/>
        <v>46.314999999999998</v>
      </c>
      <c r="F28" s="10">
        <f t="shared" si="13"/>
        <v>51.19</v>
      </c>
      <c r="G28" s="10">
        <f t="shared" si="13"/>
        <v>56.064999999999998</v>
      </c>
      <c r="H28" s="10">
        <f t="shared" si="13"/>
        <v>60.94</v>
      </c>
      <c r="I28" s="10">
        <f t="shared" si="13"/>
        <v>65.814999999999998</v>
      </c>
      <c r="J28" s="10">
        <f t="shared" si="13"/>
        <v>70.69</v>
      </c>
      <c r="K28" s="10">
        <f t="shared" si="13"/>
        <v>75.564999999999998</v>
      </c>
      <c r="L28" s="10">
        <f t="shared" si="13"/>
        <v>80.44</v>
      </c>
      <c r="M28" s="10">
        <f t="shared" si="13"/>
        <v>85.69</v>
      </c>
    </row>
    <row r="29" spans="1:14" x14ac:dyDescent="0.25">
      <c r="A29" s="50" t="s">
        <v>51</v>
      </c>
    </row>
    <row r="30" spans="1:14" x14ac:dyDescent="0.25">
      <c r="A30" s="47" t="s">
        <v>3</v>
      </c>
      <c r="B30" s="33" t="e">
        <f t="shared" ref="B30:M30" si="14">CEILING(B22+$F$1/COS($J$2)+B13+$B$1*TAN($J$2), 0.125)</f>
        <v>#REF!</v>
      </c>
      <c r="C30" s="33" t="e">
        <f t="shared" si="14"/>
        <v>#REF!</v>
      </c>
      <c r="D30" s="33" t="e">
        <f t="shared" si="14"/>
        <v>#REF!</v>
      </c>
      <c r="E30" s="33" t="e">
        <f t="shared" si="14"/>
        <v>#REF!</v>
      </c>
      <c r="F30" s="33" t="e">
        <f t="shared" si="14"/>
        <v>#REF!</v>
      </c>
      <c r="G30" s="33" t="e">
        <f t="shared" si="14"/>
        <v>#REF!</v>
      </c>
      <c r="H30" s="33" t="e">
        <f t="shared" si="14"/>
        <v>#REF!</v>
      </c>
      <c r="I30" s="33" t="e">
        <f t="shared" si="14"/>
        <v>#REF!</v>
      </c>
      <c r="J30" s="33" t="e">
        <f t="shared" si="14"/>
        <v>#REF!</v>
      </c>
      <c r="K30" s="33" t="e">
        <f t="shared" si="14"/>
        <v>#REF!</v>
      </c>
      <c r="L30" s="33" t="e">
        <f t="shared" si="14"/>
        <v>#REF!</v>
      </c>
      <c r="M30" s="33" t="e">
        <f t="shared" si="14"/>
        <v>#REF!</v>
      </c>
    </row>
    <row r="31" spans="1:14" x14ac:dyDescent="0.25">
      <c r="A31" s="47" t="s">
        <v>2</v>
      </c>
      <c r="B31" s="34" t="e">
        <f>CEILING(IF(B28&gt;=B25, B28,B25), 0.25)</f>
        <v>#REF!</v>
      </c>
      <c r="C31" s="34" t="e">
        <f t="shared" ref="C31:M31" si="15">CEILING(IF(C28&gt;=C25, C28,C25), 0.25)</f>
        <v>#REF!</v>
      </c>
      <c r="D31" s="34" t="e">
        <f t="shared" si="15"/>
        <v>#REF!</v>
      </c>
      <c r="E31" s="34" t="e">
        <f t="shared" si="15"/>
        <v>#REF!</v>
      </c>
      <c r="F31" s="34" t="e">
        <f t="shared" si="15"/>
        <v>#REF!</v>
      </c>
      <c r="G31" s="34" t="e">
        <f t="shared" si="15"/>
        <v>#REF!</v>
      </c>
      <c r="H31" s="34" t="e">
        <f t="shared" si="15"/>
        <v>#REF!</v>
      </c>
      <c r="I31" s="34" t="e">
        <f t="shared" si="15"/>
        <v>#REF!</v>
      </c>
      <c r="J31" s="34" t="e">
        <f t="shared" si="15"/>
        <v>#REF!</v>
      </c>
      <c r="K31" s="34" t="e">
        <f t="shared" si="15"/>
        <v>#REF!</v>
      </c>
      <c r="L31" s="34" t="e">
        <f t="shared" si="15"/>
        <v>#REF!</v>
      </c>
      <c r="M31" s="34" t="e">
        <f t="shared" si="15"/>
        <v>#REF!</v>
      </c>
    </row>
    <row r="32" spans="1:14" x14ac:dyDescent="0.25">
      <c r="A32" s="47" t="s">
        <v>105</v>
      </c>
      <c r="B32" s="35">
        <f>ROUNDUP($B$1*B14*B12*($B$2/2),0)</f>
        <v>86</v>
      </c>
      <c r="C32" s="35">
        <f t="shared" ref="C32:M32" si="16">ROUNDUP($B$1*C14*C12*($B$2/2),0)</f>
        <v>114</v>
      </c>
      <c r="D32" s="35">
        <f t="shared" si="16"/>
        <v>145</v>
      </c>
      <c r="E32" s="35">
        <f t="shared" si="16"/>
        <v>181</v>
      </c>
      <c r="F32" s="35">
        <f t="shared" si="16"/>
        <v>220</v>
      </c>
      <c r="G32" s="35">
        <f t="shared" si="16"/>
        <v>263</v>
      </c>
      <c r="H32" s="35">
        <f t="shared" si="16"/>
        <v>310</v>
      </c>
      <c r="I32" s="35">
        <f t="shared" si="16"/>
        <v>360</v>
      </c>
      <c r="J32" s="35">
        <f t="shared" si="16"/>
        <v>415</v>
      </c>
      <c r="K32" s="35">
        <f t="shared" si="16"/>
        <v>473</v>
      </c>
      <c r="L32" s="35">
        <f t="shared" si="16"/>
        <v>534</v>
      </c>
      <c r="M32" s="35">
        <f t="shared" si="16"/>
        <v>603</v>
      </c>
      <c r="N32" t="s">
        <v>101</v>
      </c>
    </row>
    <row r="33" spans="1:14" x14ac:dyDescent="0.25">
      <c r="A33" s="47" t="s">
        <v>76</v>
      </c>
      <c r="B33" s="58">
        <f>ROUNDUP(B32*($F$5+$J$5), 1)</f>
        <v>20.6</v>
      </c>
      <c r="C33" s="58">
        <f t="shared" ref="C33:M33" si="17">ROUNDUP(C32*($F$5+$J$5), 1)</f>
        <v>27.3</v>
      </c>
      <c r="D33" s="58">
        <f t="shared" si="17"/>
        <v>34.700000000000003</v>
      </c>
      <c r="E33" s="58">
        <f t="shared" si="17"/>
        <v>43.300000000000004</v>
      </c>
      <c r="F33" s="58">
        <f t="shared" si="17"/>
        <v>52.6</v>
      </c>
      <c r="G33" s="58">
        <f t="shared" si="17"/>
        <v>62.9</v>
      </c>
      <c r="H33" s="58">
        <f t="shared" si="17"/>
        <v>74.099999999999994</v>
      </c>
      <c r="I33" s="58">
        <f t="shared" si="17"/>
        <v>86.1</v>
      </c>
      <c r="J33" s="58">
        <f t="shared" si="17"/>
        <v>99.199999999999989</v>
      </c>
      <c r="K33" s="58">
        <f t="shared" si="17"/>
        <v>113.1</v>
      </c>
      <c r="L33" s="58">
        <f t="shared" si="17"/>
        <v>127.69999999999999</v>
      </c>
      <c r="M33" s="58">
        <f t="shared" si="17"/>
        <v>144.19999999999999</v>
      </c>
    </row>
    <row r="34" spans="1:14" x14ac:dyDescent="0.25">
      <c r="A34" s="49" t="s">
        <v>68</v>
      </c>
    </row>
    <row r="35" spans="1:14" x14ac:dyDescent="0.25">
      <c r="A35" s="47" t="s">
        <v>60</v>
      </c>
      <c r="B35" s="33" t="e">
        <f>CEILING(B22, 0.125)</f>
        <v>#REF!</v>
      </c>
      <c r="C35" s="33" t="e">
        <f t="shared" ref="C35:M35" si="18">CEILING(C22, 0.125)</f>
        <v>#REF!</v>
      </c>
      <c r="D35" s="33" t="e">
        <f t="shared" si="18"/>
        <v>#REF!</v>
      </c>
      <c r="E35" s="33" t="e">
        <f t="shared" si="18"/>
        <v>#REF!</v>
      </c>
      <c r="F35" s="33" t="e">
        <f t="shared" si="18"/>
        <v>#REF!</v>
      </c>
      <c r="G35" s="33" t="e">
        <f t="shared" si="18"/>
        <v>#REF!</v>
      </c>
      <c r="H35" s="33" t="e">
        <f t="shared" si="18"/>
        <v>#REF!</v>
      </c>
      <c r="I35" s="33" t="e">
        <f t="shared" si="18"/>
        <v>#REF!</v>
      </c>
      <c r="J35" s="33" t="e">
        <f t="shared" si="18"/>
        <v>#REF!</v>
      </c>
      <c r="K35" s="33" t="e">
        <f t="shared" si="18"/>
        <v>#REF!</v>
      </c>
      <c r="L35" s="33" t="e">
        <f t="shared" si="18"/>
        <v>#REF!</v>
      </c>
      <c r="M35" s="33" t="e">
        <f t="shared" si="18"/>
        <v>#REF!</v>
      </c>
    </row>
    <row r="36" spans="1:14" x14ac:dyDescent="0.25">
      <c r="A36" s="47" t="s">
        <v>61</v>
      </c>
      <c r="B36" s="33">
        <f t="shared" ref="B36:M36" si="19">CEILING(B14+$F$3, 0.125)</f>
        <v>1.5</v>
      </c>
      <c r="C36" s="33">
        <f t="shared" si="19"/>
        <v>1.625</v>
      </c>
      <c r="D36" s="33">
        <f t="shared" si="19"/>
        <v>1.875</v>
      </c>
      <c r="E36" s="33">
        <f t="shared" si="19"/>
        <v>2</v>
      </c>
      <c r="F36" s="33">
        <f t="shared" si="19"/>
        <v>2.25</v>
      </c>
      <c r="G36" s="33">
        <f t="shared" si="19"/>
        <v>2.375</v>
      </c>
      <c r="H36" s="33">
        <f t="shared" si="19"/>
        <v>2.625</v>
      </c>
      <c r="I36" s="33">
        <f t="shared" si="19"/>
        <v>2.75</v>
      </c>
      <c r="J36" s="33">
        <f t="shared" si="19"/>
        <v>3</v>
      </c>
      <c r="K36" s="33">
        <f t="shared" si="19"/>
        <v>3.25</v>
      </c>
      <c r="L36" s="33">
        <f t="shared" si="19"/>
        <v>3.375</v>
      </c>
      <c r="M36" s="33">
        <f t="shared" si="19"/>
        <v>3.625</v>
      </c>
    </row>
    <row r="37" spans="1:14" x14ac:dyDescent="0.25">
      <c r="A37" s="47" t="s">
        <v>82</v>
      </c>
      <c r="B37" s="35" t="e">
        <f>ROUNDUP($B$1*B31*(B35+B36), 0)</f>
        <v>#REF!</v>
      </c>
      <c r="C37" s="35" t="e">
        <f t="shared" ref="C37:M37" si="20">ROUNDUP($B$1*C31*(C35+C36), 0)</f>
        <v>#REF!</v>
      </c>
      <c r="D37" s="35" t="e">
        <f t="shared" si="20"/>
        <v>#REF!</v>
      </c>
      <c r="E37" s="35" t="e">
        <f t="shared" si="20"/>
        <v>#REF!</v>
      </c>
      <c r="F37" s="35" t="e">
        <f t="shared" si="20"/>
        <v>#REF!</v>
      </c>
      <c r="G37" s="35" t="e">
        <f t="shared" si="20"/>
        <v>#REF!</v>
      </c>
      <c r="H37" s="35" t="e">
        <f t="shared" si="20"/>
        <v>#REF!</v>
      </c>
      <c r="I37" s="35" t="e">
        <f t="shared" si="20"/>
        <v>#REF!</v>
      </c>
      <c r="J37" s="35" t="e">
        <f t="shared" si="20"/>
        <v>#REF!</v>
      </c>
      <c r="K37" s="35" t="e">
        <f t="shared" si="20"/>
        <v>#REF!</v>
      </c>
      <c r="L37" s="35" t="e">
        <f t="shared" si="20"/>
        <v>#REF!</v>
      </c>
      <c r="M37" s="35" t="e">
        <f t="shared" si="20"/>
        <v>#REF!</v>
      </c>
      <c r="N37" s="56" t="e">
        <f>(SUM(B37:M37)*2)/144</f>
        <v>#REF!</v>
      </c>
    </row>
    <row r="38" spans="1:14" x14ac:dyDescent="0.25">
      <c r="A38" s="47" t="s">
        <v>76</v>
      </c>
      <c r="B38" s="51" t="e">
        <f t="shared" ref="B38:M38" si="21">B37*($F$5+$J$5)</f>
        <v>#REF!</v>
      </c>
      <c r="C38" s="51" t="e">
        <f t="shared" si="21"/>
        <v>#REF!</v>
      </c>
      <c r="D38" s="51" t="e">
        <f t="shared" si="21"/>
        <v>#REF!</v>
      </c>
      <c r="E38" s="51" t="e">
        <f t="shared" si="21"/>
        <v>#REF!</v>
      </c>
      <c r="F38" s="51" t="e">
        <f t="shared" si="21"/>
        <v>#REF!</v>
      </c>
      <c r="G38" s="51" t="e">
        <f t="shared" si="21"/>
        <v>#REF!</v>
      </c>
      <c r="H38" s="51" t="e">
        <f t="shared" si="21"/>
        <v>#REF!</v>
      </c>
      <c r="I38" s="51" t="e">
        <f t="shared" si="21"/>
        <v>#REF!</v>
      </c>
      <c r="J38" s="51" t="e">
        <f t="shared" si="21"/>
        <v>#REF!</v>
      </c>
      <c r="K38" s="51" t="e">
        <f t="shared" si="21"/>
        <v>#REF!</v>
      </c>
      <c r="L38" s="51" t="e">
        <f t="shared" si="21"/>
        <v>#REF!</v>
      </c>
      <c r="M38" s="51" t="e">
        <f t="shared" si="21"/>
        <v>#REF!</v>
      </c>
    </row>
    <row r="39" spans="1:14" x14ac:dyDescent="0.25">
      <c r="A39" s="47" t="s">
        <v>62</v>
      </c>
      <c r="B39" s="36" t="e">
        <f t="shared" ref="B39:M39" si="22">CEILING(B21+$B$1*TAN($J$2), 0.125)</f>
        <v>#REF!</v>
      </c>
      <c r="C39" s="36" t="e">
        <f t="shared" si="22"/>
        <v>#REF!</v>
      </c>
      <c r="D39" s="36" t="e">
        <f t="shared" si="22"/>
        <v>#REF!</v>
      </c>
      <c r="E39" s="36" t="e">
        <f t="shared" si="22"/>
        <v>#REF!</v>
      </c>
      <c r="F39" s="36" t="e">
        <f t="shared" si="22"/>
        <v>#REF!</v>
      </c>
      <c r="G39" s="36" t="e">
        <f t="shared" si="22"/>
        <v>#REF!</v>
      </c>
      <c r="H39" s="36" t="e">
        <f t="shared" si="22"/>
        <v>#REF!</v>
      </c>
      <c r="I39" s="36" t="e">
        <f t="shared" si="22"/>
        <v>#REF!</v>
      </c>
      <c r="J39" s="36" t="e">
        <f t="shared" si="22"/>
        <v>#REF!</v>
      </c>
      <c r="K39" s="36" t="e">
        <f t="shared" si="22"/>
        <v>#REF!</v>
      </c>
      <c r="L39" s="36" t="e">
        <f t="shared" si="22"/>
        <v>#REF!</v>
      </c>
      <c r="M39" s="36" t="e">
        <f t="shared" si="22"/>
        <v>#REF!</v>
      </c>
    </row>
    <row r="40" spans="1:14" x14ac:dyDescent="0.25">
      <c r="A40" s="47" t="s">
        <v>63</v>
      </c>
      <c r="B40" s="36" t="e">
        <f>CEILING(#REF!+B14+$F$1 +2*$F$3, 0.125)</f>
        <v>#REF!</v>
      </c>
      <c r="C40" s="36" t="e">
        <f>CEILING(#REF!+C14+$F$1 +2*$F$3, 0.125)</f>
        <v>#REF!</v>
      </c>
      <c r="D40" s="36" t="e">
        <f>CEILING(#REF!+D14+$F$1 +2*$F$3, 0.125)</f>
        <v>#REF!</v>
      </c>
      <c r="E40" s="36" t="e">
        <f>CEILING(#REF!+E14+$F$1 +2*$F$3, 0.125)</f>
        <v>#REF!</v>
      </c>
      <c r="F40" s="36" t="e">
        <f>CEILING(#REF!+F14+$F$1 +2*$F$3, 0.125)</f>
        <v>#REF!</v>
      </c>
      <c r="G40" s="36" t="e">
        <f>CEILING(#REF!+G14+$F$1 +2*$F$3, 0.125)</f>
        <v>#REF!</v>
      </c>
      <c r="H40" s="36" t="e">
        <f>CEILING(#REF!+H14+$F$1 +2*$F$3, 0.125)</f>
        <v>#REF!</v>
      </c>
      <c r="I40" s="36" t="e">
        <f>CEILING(#REF!+I14+$F$1 +2*$F$3, 0.125)</f>
        <v>#REF!</v>
      </c>
      <c r="J40" s="36" t="e">
        <f>CEILING(#REF!+J14+$F$1 +2*$F$3, 0.125)</f>
        <v>#REF!</v>
      </c>
      <c r="K40" s="36" t="e">
        <f>CEILING(#REF!+K14+$F$1 +2*$F$3, 0.125)</f>
        <v>#REF!</v>
      </c>
      <c r="L40" s="36" t="e">
        <f>CEILING(#REF!+L14+$F$1 +2*$F$3, 0.125)</f>
        <v>#REF!</v>
      </c>
      <c r="M40" s="36" t="e">
        <f>CEILING(#REF!+M14+$F$1 +2*$F$3, 0.125)</f>
        <v>#REF!</v>
      </c>
      <c r="N40" t="s">
        <v>69</v>
      </c>
    </row>
    <row r="41" spans="1:14" x14ac:dyDescent="0.25">
      <c r="A41" s="47" t="s">
        <v>82</v>
      </c>
      <c r="B41" s="14" t="e">
        <f>ROUNDUP($B$1*B31*(B39+B40), 0)</f>
        <v>#REF!</v>
      </c>
      <c r="C41" s="14" t="e">
        <f t="shared" ref="C41:M41" si="23">ROUNDUP($B$1*C31*(C39+C40), 0)</f>
        <v>#REF!</v>
      </c>
      <c r="D41" s="14" t="e">
        <f t="shared" si="23"/>
        <v>#REF!</v>
      </c>
      <c r="E41" s="14" t="e">
        <f t="shared" si="23"/>
        <v>#REF!</v>
      </c>
      <c r="F41" s="14" t="e">
        <f t="shared" si="23"/>
        <v>#REF!</v>
      </c>
      <c r="G41" s="14" t="e">
        <f t="shared" si="23"/>
        <v>#REF!</v>
      </c>
      <c r="H41" s="14" t="e">
        <f t="shared" si="23"/>
        <v>#REF!</v>
      </c>
      <c r="I41" s="14" t="e">
        <f t="shared" si="23"/>
        <v>#REF!</v>
      </c>
      <c r="J41" s="14" t="e">
        <f t="shared" si="23"/>
        <v>#REF!</v>
      </c>
      <c r="K41" s="14" t="e">
        <f t="shared" si="23"/>
        <v>#REF!</v>
      </c>
      <c r="L41" s="14" t="e">
        <f t="shared" si="23"/>
        <v>#REF!</v>
      </c>
      <c r="M41" s="14" t="e">
        <f t="shared" si="23"/>
        <v>#REF!</v>
      </c>
      <c r="N41" s="56" t="e">
        <f>(SUM(B41:M41)*2)/144</f>
        <v>#REF!</v>
      </c>
    </row>
    <row r="42" spans="1:14" x14ac:dyDescent="0.25">
      <c r="A42" s="47" t="s">
        <v>76</v>
      </c>
      <c r="B42" s="52" t="e">
        <f t="shared" ref="B42:M42" si="24">B41*($F$5+$J$5)</f>
        <v>#REF!</v>
      </c>
      <c r="C42" s="52" t="e">
        <f t="shared" si="24"/>
        <v>#REF!</v>
      </c>
      <c r="D42" s="52" t="e">
        <f t="shared" si="24"/>
        <v>#REF!</v>
      </c>
      <c r="E42" s="52" t="e">
        <f t="shared" si="24"/>
        <v>#REF!</v>
      </c>
      <c r="F42" s="52" t="e">
        <f t="shared" si="24"/>
        <v>#REF!</v>
      </c>
      <c r="G42" s="52" t="e">
        <f t="shared" si="24"/>
        <v>#REF!</v>
      </c>
      <c r="H42" s="52" t="e">
        <f t="shared" si="24"/>
        <v>#REF!</v>
      </c>
      <c r="I42" s="52" t="e">
        <f t="shared" si="24"/>
        <v>#REF!</v>
      </c>
      <c r="J42" s="52" t="e">
        <f t="shared" si="24"/>
        <v>#REF!</v>
      </c>
      <c r="K42" s="52" t="e">
        <f t="shared" si="24"/>
        <v>#REF!</v>
      </c>
      <c r="L42" s="52" t="e">
        <f t="shared" si="24"/>
        <v>#REF!</v>
      </c>
      <c r="M42" s="52" t="e">
        <f t="shared" si="24"/>
        <v>#REF!</v>
      </c>
    </row>
    <row r="43" spans="1:14" x14ac:dyDescent="0.25">
      <c r="A43" s="47" t="s">
        <v>64</v>
      </c>
      <c r="B43" s="44">
        <f>CEILING(B20, 0.125)</f>
        <v>1.5</v>
      </c>
      <c r="C43" s="44">
        <f t="shared" ref="C43:M43" si="25">CEILING(C20, 0.125)</f>
        <v>1.625</v>
      </c>
      <c r="D43" s="44">
        <f t="shared" si="25"/>
        <v>1.875</v>
      </c>
      <c r="E43" s="44">
        <f t="shared" si="25"/>
        <v>2</v>
      </c>
      <c r="F43" s="44">
        <f t="shared" si="25"/>
        <v>2.25</v>
      </c>
      <c r="G43" s="44">
        <f t="shared" si="25"/>
        <v>2.375</v>
      </c>
      <c r="H43" s="44">
        <f t="shared" si="25"/>
        <v>2.625</v>
      </c>
      <c r="I43" s="44">
        <f t="shared" si="25"/>
        <v>2.75</v>
      </c>
      <c r="J43" s="44">
        <f t="shared" si="25"/>
        <v>3</v>
      </c>
      <c r="K43" s="44">
        <f t="shared" si="25"/>
        <v>3.25</v>
      </c>
      <c r="L43" s="44">
        <f t="shared" si="25"/>
        <v>3.375</v>
      </c>
      <c r="M43" s="44">
        <f t="shared" si="25"/>
        <v>3.625</v>
      </c>
    </row>
    <row r="44" spans="1:14" x14ac:dyDescent="0.25">
      <c r="A44" s="47" t="s">
        <v>65</v>
      </c>
      <c r="B44" s="44" t="e">
        <f>CEILING(#REF!*2+B14+2*$F$1 +3*$F$3, 0.125)</f>
        <v>#REF!</v>
      </c>
      <c r="C44" s="44" t="e">
        <f>CEILING(#REF!*2+C14+2*$F$1 +3*$F$3, 0.125)</f>
        <v>#REF!</v>
      </c>
      <c r="D44" s="44" t="e">
        <f>CEILING(#REF!*2+D14+2*$F$1 +3*$F$3, 0.125)</f>
        <v>#REF!</v>
      </c>
      <c r="E44" s="44" t="e">
        <f>CEILING(#REF!*2+E14+2*$F$1 +3*$F$3, 0.125)</f>
        <v>#REF!</v>
      </c>
      <c r="F44" s="44" t="e">
        <f>CEILING(#REF!*2+F14+2*$F$1 +3*$F$3, 0.125)</f>
        <v>#REF!</v>
      </c>
      <c r="G44" s="44" t="e">
        <f>CEILING(#REF!*2+G14+2*$F$1 +3*$F$3, 0.125)</f>
        <v>#REF!</v>
      </c>
      <c r="H44" s="44" t="e">
        <f>CEILING(#REF!*2+H14+2*$F$1 +3*$F$3, 0.125)</f>
        <v>#REF!</v>
      </c>
      <c r="I44" s="44" t="e">
        <f>CEILING(#REF!*2+I14+2*$F$1 +3*$F$3, 0.125)</f>
        <v>#REF!</v>
      </c>
      <c r="J44" s="44" t="e">
        <f>CEILING(#REF!*2+J14+2*$F$1 +3*$F$3, 0.125)</f>
        <v>#REF!</v>
      </c>
      <c r="K44" s="44" t="e">
        <f>CEILING(#REF!*2+K14+2*$F$1 +3*$F$3, 0.125)</f>
        <v>#REF!</v>
      </c>
      <c r="L44" s="44" t="e">
        <f>CEILING(#REF!*2+L14+2*$F$1 +3*$F$3, 0.125)</f>
        <v>#REF!</v>
      </c>
      <c r="M44" s="44" t="e">
        <f>CEILING(#REF!*2+M14+2*$F$1 +3*$F$3, 0.125)</f>
        <v>#REF!</v>
      </c>
      <c r="N44" t="s">
        <v>69</v>
      </c>
    </row>
    <row r="45" spans="1:14" x14ac:dyDescent="0.25">
      <c r="A45" s="47" t="s">
        <v>82</v>
      </c>
      <c r="B45" s="45" t="e">
        <f>ROUNDUP($B$1*B31*(B43+B44),0)</f>
        <v>#REF!</v>
      </c>
      <c r="C45" s="45" t="e">
        <f t="shared" ref="C45:M45" si="26">ROUNDUP($B$1*C31*(C43+C44),0)</f>
        <v>#REF!</v>
      </c>
      <c r="D45" s="45" t="e">
        <f t="shared" si="26"/>
        <v>#REF!</v>
      </c>
      <c r="E45" s="45" t="e">
        <f t="shared" si="26"/>
        <v>#REF!</v>
      </c>
      <c r="F45" s="45" t="e">
        <f t="shared" si="26"/>
        <v>#REF!</v>
      </c>
      <c r="G45" s="45" t="e">
        <f t="shared" si="26"/>
        <v>#REF!</v>
      </c>
      <c r="H45" s="45" t="e">
        <f t="shared" si="26"/>
        <v>#REF!</v>
      </c>
      <c r="I45" s="45" t="e">
        <f t="shared" si="26"/>
        <v>#REF!</v>
      </c>
      <c r="J45" s="45" t="e">
        <f t="shared" si="26"/>
        <v>#REF!</v>
      </c>
      <c r="K45" s="45" t="e">
        <f t="shared" si="26"/>
        <v>#REF!</v>
      </c>
      <c r="L45" s="45" t="e">
        <f t="shared" si="26"/>
        <v>#REF!</v>
      </c>
      <c r="M45" s="45" t="e">
        <f t="shared" si="26"/>
        <v>#REF!</v>
      </c>
      <c r="N45" s="56" t="e">
        <f>(SUM(B45:M45)*2)/144</f>
        <v>#REF!</v>
      </c>
    </row>
    <row r="46" spans="1:14" x14ac:dyDescent="0.25">
      <c r="A46" s="47" t="s">
        <v>76</v>
      </c>
      <c r="B46" s="52" t="e">
        <f t="shared" ref="B46:M46" si="27">B45*($F$5+$J$5)</f>
        <v>#REF!</v>
      </c>
      <c r="C46" s="52" t="e">
        <f t="shared" si="27"/>
        <v>#REF!</v>
      </c>
      <c r="D46" s="52" t="e">
        <f t="shared" si="27"/>
        <v>#REF!</v>
      </c>
      <c r="E46" s="52" t="e">
        <f t="shared" si="27"/>
        <v>#REF!</v>
      </c>
      <c r="F46" s="52" t="e">
        <f t="shared" si="27"/>
        <v>#REF!</v>
      </c>
      <c r="G46" s="52" t="e">
        <f t="shared" si="27"/>
        <v>#REF!</v>
      </c>
      <c r="H46" s="52" t="e">
        <f t="shared" si="27"/>
        <v>#REF!</v>
      </c>
      <c r="I46" s="52" t="e">
        <f t="shared" si="27"/>
        <v>#REF!</v>
      </c>
      <c r="J46" s="52" t="e">
        <f t="shared" si="27"/>
        <v>#REF!</v>
      </c>
      <c r="K46" s="52" t="e">
        <f t="shared" si="27"/>
        <v>#REF!</v>
      </c>
      <c r="L46" s="52" t="e">
        <f t="shared" si="27"/>
        <v>#REF!</v>
      </c>
      <c r="M46" s="52" t="e">
        <f t="shared" si="27"/>
        <v>#REF!</v>
      </c>
    </row>
    <row r="47" spans="1:14" x14ac:dyDescent="0.25">
      <c r="A47" s="9" t="s">
        <v>73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4" x14ac:dyDescent="0.25">
      <c r="A48" s="4" t="s">
        <v>80</v>
      </c>
      <c r="B48" s="37" t="s">
        <v>56</v>
      </c>
      <c r="C48" s="38" t="s">
        <v>57</v>
      </c>
      <c r="D48" s="38" t="s">
        <v>58</v>
      </c>
      <c r="E48" s="39" t="s">
        <v>59</v>
      </c>
      <c r="I48" s="5" t="s">
        <v>70</v>
      </c>
      <c r="J48"/>
    </row>
    <row r="49" spans="1:12" x14ac:dyDescent="0.25">
      <c r="A49" s="47" t="s">
        <v>81</v>
      </c>
      <c r="C49" s="46"/>
      <c r="D49" s="46"/>
      <c r="E49" s="46"/>
      <c r="F49" s="46"/>
      <c r="I49" s="32" t="s">
        <v>7</v>
      </c>
      <c r="J49" s="22"/>
      <c r="K49" s="26"/>
      <c r="L49" s="24" t="s">
        <v>8</v>
      </c>
    </row>
    <row r="50" spans="1:12" x14ac:dyDescent="0.25">
      <c r="A50" s="48" t="s">
        <v>74</v>
      </c>
      <c r="C50" s="59" t="s">
        <v>75</v>
      </c>
      <c r="D50" s="59"/>
      <c r="E50" s="59"/>
      <c r="F50" s="59"/>
      <c r="I50" s="29" t="s">
        <v>7</v>
      </c>
      <c r="J50" s="21"/>
      <c r="K50" s="25"/>
      <c r="L50" s="23" t="s">
        <v>8</v>
      </c>
    </row>
    <row r="51" spans="1:12" x14ac:dyDescent="0.25">
      <c r="A51" s="27" t="s">
        <v>7</v>
      </c>
      <c r="B51" s="19"/>
      <c r="C51" s="29" t="s">
        <v>7</v>
      </c>
      <c r="D51" s="20"/>
      <c r="E51" s="20"/>
      <c r="F51" s="23"/>
      <c r="I51" s="32" t="s">
        <v>9</v>
      </c>
      <c r="J51" s="22"/>
      <c r="K51" s="26"/>
      <c r="L51" s="24" t="s">
        <v>12</v>
      </c>
    </row>
    <row r="52" spans="1:12" x14ac:dyDescent="0.25">
      <c r="A52" s="28" t="s">
        <v>71</v>
      </c>
      <c r="B52" s="19"/>
      <c r="C52" s="30" t="s">
        <v>71</v>
      </c>
      <c r="D52" s="18"/>
      <c r="E52" s="18"/>
      <c r="F52" s="31"/>
      <c r="I52" s="29" t="s">
        <v>9</v>
      </c>
      <c r="J52" s="21"/>
      <c r="K52" s="25"/>
      <c r="L52" s="23" t="s">
        <v>12</v>
      </c>
    </row>
    <row r="53" spans="1:12" x14ac:dyDescent="0.25">
      <c r="A53" s="28" t="s">
        <v>10</v>
      </c>
      <c r="B53" s="19"/>
      <c r="C53" s="30" t="s">
        <v>10</v>
      </c>
      <c r="D53" s="18"/>
      <c r="E53" s="18"/>
      <c r="F53" s="31"/>
      <c r="I53" s="32" t="s">
        <v>10</v>
      </c>
      <c r="J53" s="22"/>
      <c r="K53" s="26"/>
      <c r="L53" s="24" t="s">
        <v>11</v>
      </c>
    </row>
    <row r="54" spans="1:12" x14ac:dyDescent="0.25">
      <c r="A54" s="28" t="s">
        <v>72</v>
      </c>
      <c r="B54" s="19"/>
      <c r="C54" s="30" t="s">
        <v>72</v>
      </c>
      <c r="D54" s="18"/>
      <c r="E54" s="18"/>
      <c r="F54" s="31"/>
      <c r="I54" s="29" t="s">
        <v>10</v>
      </c>
      <c r="J54" s="21"/>
      <c r="K54" s="25"/>
      <c r="L54" s="23" t="s">
        <v>11</v>
      </c>
    </row>
    <row r="55" spans="1:12" x14ac:dyDescent="0.25">
      <c r="A55" s="1" t="s">
        <v>79</v>
      </c>
    </row>
    <row r="58" spans="1:12" x14ac:dyDescent="0.25">
      <c r="A58" s="5" t="s">
        <v>54</v>
      </c>
      <c r="B58" s="56">
        <v>10</v>
      </c>
      <c r="C58" s="56">
        <v>12</v>
      </c>
      <c r="D58" s="56">
        <v>14</v>
      </c>
      <c r="E58" s="56">
        <v>16</v>
      </c>
      <c r="F58" s="56">
        <v>18</v>
      </c>
      <c r="G58" s="56">
        <v>20</v>
      </c>
      <c r="H58" s="56">
        <v>22</v>
      </c>
      <c r="I58" s="56">
        <v>24</v>
      </c>
      <c r="J58" s="56">
        <v>26</v>
      </c>
      <c r="K58" s="56">
        <v>28</v>
      </c>
    </row>
    <row r="59" spans="1:12" x14ac:dyDescent="0.25">
      <c r="A59" s="5" t="s">
        <v>89</v>
      </c>
      <c r="B59" s="56">
        <v>1</v>
      </c>
      <c r="C59" s="1">
        <v>1.25</v>
      </c>
      <c r="D59" s="57">
        <v>1.5</v>
      </c>
      <c r="E59" s="54">
        <v>1.6180000000000001</v>
      </c>
      <c r="F59" s="1">
        <v>1.75</v>
      </c>
      <c r="G59" s="54">
        <v>1.875</v>
      </c>
      <c r="H59" s="56">
        <v>2</v>
      </c>
      <c r="I59" s="54">
        <v>2.125</v>
      </c>
      <c r="J59" s="1">
        <v>2.25</v>
      </c>
    </row>
  </sheetData>
  <mergeCells count="11">
    <mergeCell ref="C4:E4"/>
    <mergeCell ref="G5:I5"/>
    <mergeCell ref="C50:F50"/>
    <mergeCell ref="C5:E5"/>
    <mergeCell ref="C1:E1"/>
    <mergeCell ref="G1:I1"/>
    <mergeCell ref="L1:M1"/>
    <mergeCell ref="C2:E2"/>
    <mergeCell ref="G2:I2"/>
    <mergeCell ref="C3:E3"/>
    <mergeCell ref="G3:I3"/>
  </mergeCells>
  <dataValidations count="2">
    <dataValidation type="list" allowBlank="1" showInputMessage="1" showErrorMessage="1" sqref="B2">
      <formula1>$B$58:$K$58</formula1>
    </dataValidation>
    <dataValidation type="list" allowBlank="1" showInputMessage="1" showErrorMessage="1" sqref="B3">
      <formula1>$B$59:$J$59</formula1>
    </dataValidation>
  </dataValidations>
  <pageMargins left="0.7" right="0.7" top="0.75" bottom="0.75" header="0.3" footer="0.3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/>
  </sheetViews>
  <sheetFormatPr defaultColWidth="8.85546875" defaultRowHeight="15" x14ac:dyDescent="0.25"/>
  <cols>
    <col min="1" max="1" width="33.28515625" bestFit="1" customWidth="1"/>
    <col min="2" max="2" width="21.42578125" bestFit="1" customWidth="1"/>
    <col min="3" max="3" width="18.28515625" bestFit="1" customWidth="1"/>
    <col min="5" max="5" width="11.28515625" bestFit="1" customWidth="1"/>
  </cols>
  <sheetData>
    <row r="1" spans="1:5" x14ac:dyDescent="0.25">
      <c r="A1" s="9" t="s">
        <v>39</v>
      </c>
      <c r="B1" s="9" t="s">
        <v>38</v>
      </c>
      <c r="C1" s="9" t="s">
        <v>40</v>
      </c>
      <c r="D1" s="9" t="s">
        <v>41</v>
      </c>
      <c r="E1" s="9" t="s">
        <v>42</v>
      </c>
    </row>
    <row r="2" spans="1:5" x14ac:dyDescent="0.25">
      <c r="A2" t="s">
        <v>52</v>
      </c>
      <c r="B2" t="s">
        <v>21</v>
      </c>
      <c r="C2" t="s">
        <v>53</v>
      </c>
    </row>
    <row r="3" spans="1:5" x14ac:dyDescent="0.25">
      <c r="A3" t="s">
        <v>20</v>
      </c>
      <c r="B3" t="s">
        <v>43</v>
      </c>
      <c r="D3" t="s">
        <v>44</v>
      </c>
      <c r="E3" t="s">
        <v>45</v>
      </c>
    </row>
    <row r="4" spans="1:5" x14ac:dyDescent="0.25">
      <c r="A4" t="s">
        <v>47</v>
      </c>
      <c r="B4" t="s">
        <v>21</v>
      </c>
      <c r="C4" t="s">
        <v>46</v>
      </c>
      <c r="D4" t="s">
        <v>1</v>
      </c>
      <c r="E4" t="s">
        <v>48</v>
      </c>
    </row>
    <row r="5" spans="1:5" x14ac:dyDescent="0.25">
      <c r="A5" t="s">
        <v>49</v>
      </c>
      <c r="B5" t="s">
        <v>21</v>
      </c>
      <c r="C5" t="s">
        <v>46</v>
      </c>
      <c r="D5" t="s">
        <v>0</v>
      </c>
      <c r="E5" t="s">
        <v>32</v>
      </c>
    </row>
    <row r="6" spans="1:5" x14ac:dyDescent="0.25">
      <c r="A6" t="s">
        <v>28</v>
      </c>
      <c r="B6" t="s">
        <v>21</v>
      </c>
      <c r="C6" t="s">
        <v>50</v>
      </c>
      <c r="D6" t="s">
        <v>1</v>
      </c>
      <c r="E6" t="s">
        <v>35</v>
      </c>
    </row>
    <row r="7" spans="1:5" x14ac:dyDescent="0.25">
      <c r="A7" t="s">
        <v>29</v>
      </c>
      <c r="B7" t="s">
        <v>21</v>
      </c>
    </row>
    <row r="8" spans="1:5" x14ac:dyDescent="0.25">
      <c r="A8" t="s">
        <v>26</v>
      </c>
      <c r="B8" t="s">
        <v>22</v>
      </c>
      <c r="C8" t="s">
        <v>31</v>
      </c>
    </row>
    <row r="9" spans="1:5" x14ac:dyDescent="0.25">
      <c r="A9" t="s">
        <v>25</v>
      </c>
      <c r="B9" t="s">
        <v>22</v>
      </c>
      <c r="C9" t="s">
        <v>31</v>
      </c>
    </row>
    <row r="10" spans="1:5" x14ac:dyDescent="0.25">
      <c r="A10" t="s">
        <v>24</v>
      </c>
      <c r="B10" t="s">
        <v>21</v>
      </c>
    </row>
    <row r="11" spans="1:5" x14ac:dyDescent="0.25">
      <c r="A11" t="s">
        <v>27</v>
      </c>
      <c r="B11" t="s">
        <v>23</v>
      </c>
    </row>
    <row r="12" spans="1:5" x14ac:dyDescent="0.25">
      <c r="A12" t="s">
        <v>30</v>
      </c>
      <c r="B12" t="s">
        <v>21</v>
      </c>
    </row>
    <row r="17" spans="6:6" x14ac:dyDescent="0.25">
      <c r="F17" t="s">
        <v>32</v>
      </c>
    </row>
    <row r="18" spans="6:6" x14ac:dyDescent="0.25">
      <c r="F18" t="s">
        <v>33</v>
      </c>
    </row>
    <row r="19" spans="6:6" x14ac:dyDescent="0.25">
      <c r="F19" t="s">
        <v>35</v>
      </c>
    </row>
    <row r="20" spans="6:6" x14ac:dyDescent="0.25">
      <c r="F20" t="s">
        <v>36</v>
      </c>
    </row>
    <row r="21" spans="6:6" x14ac:dyDescent="0.25">
      <c r="F21" t="s">
        <v>34</v>
      </c>
    </row>
    <row r="22" spans="6:6" x14ac:dyDescent="0.25">
      <c r="F22" t="s">
        <v>37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Ashikos</vt:lpstr>
      <vt:lpstr>Method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cp:lastPrinted>2013-04-30T22:38:32Z</cp:lastPrinted>
  <dcterms:created xsi:type="dcterms:W3CDTF">2013-04-20T21:12:38Z</dcterms:created>
  <dcterms:modified xsi:type="dcterms:W3CDTF">2013-05-06T22:29:44Z</dcterms:modified>
</cp:coreProperties>
</file>