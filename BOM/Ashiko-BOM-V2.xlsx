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llOfMaterials" sheetId="1" r:id="rId3"/>
    <sheet state="visible" name="Revisions" sheetId="2" r:id="rId4"/>
    <sheet state="visible" name="Example" sheetId="3" r:id="rId5"/>
    <sheet state="visible" name="©" sheetId="4" r:id="rId6"/>
  </sheets>
  <definedNames/>
  <calcPr/>
</workbook>
</file>

<file path=xl/sharedStrings.xml><?xml version="1.0" encoding="utf-8"?>
<sst xmlns="http://schemas.openxmlformats.org/spreadsheetml/2006/main" count="163" uniqueCount="98">
  <si>
    <t>Assembly Name :</t>
  </si>
  <si>
    <t>18 Stave Hardwood Ashiko</t>
  </si>
  <si>
    <t>[42]</t>
  </si>
  <si>
    <t>Quote Date:</t>
  </si>
  <si>
    <t>Estimated Cost :</t>
  </si>
  <si>
    <t>*</t>
  </si>
  <si>
    <t>Ashiko Hand Drum</t>
  </si>
  <si>
    <t>Part #</t>
  </si>
  <si>
    <t>Part Name</t>
  </si>
  <si>
    <t>Description</t>
  </si>
  <si>
    <t>Qty</t>
  </si>
  <si>
    <t>Units</t>
  </si>
  <si>
    <t>Picture</t>
  </si>
  <si>
    <t>Supplier</t>
  </si>
  <si>
    <t>Cost Each</t>
  </si>
  <si>
    <t>Total</t>
  </si>
  <si>
    <t>3/4 Hardwood Lumber</t>
  </si>
  <si>
    <t>Dried and surfaced hardwood of various sorts including domestic and imported species. Stave Dimensions (0.75x2x19)</t>
  </si>
  <si>
    <t>Board Feet</t>
  </si>
  <si>
    <t>Steel Ring</t>
  </si>
  <si>
    <t>Prefabricated 1/4" steel ring. One small ring for the bottom and two larger rings for the top.</t>
  </si>
  <si>
    <t>Rings</t>
  </si>
  <si>
    <t>Goat Skin</t>
  </si>
  <si>
    <t>Hairless goat skin large enough to fit the diameter of the drum head.</t>
  </si>
  <si>
    <t>Goat</t>
  </si>
  <si>
    <t>Polyester Rope</t>
  </si>
  <si>
    <t>3/16" double-braided polyester with a low-stretch core, various color options available.</t>
  </si>
  <si>
    <t>Feet</t>
  </si>
  <si>
    <t xml:space="preserve">Fabric </t>
  </si>
  <si>
    <t>2" strip of decorative fabric used to wrap the top and bottom steel rings.</t>
  </si>
  <si>
    <t>Inches</t>
  </si>
  <si>
    <t>Supplies</t>
  </si>
  <si>
    <t>Sandpaper, wood glue, lacquer, and other misc supplies.</t>
  </si>
  <si>
    <t>Notes:</t>
  </si>
  <si>
    <t>~</t>
  </si>
  <si>
    <t>3/4" Lumber Purchased @ Youngblood Lumber Company:</t>
  </si>
  <si>
    <t>5: Cherry (Ch)</t>
  </si>
  <si>
    <t>5: Hard Maple (HM)</t>
  </si>
  <si>
    <t>1: Padauk (Pd)</t>
  </si>
  <si>
    <t>1: Purple Heart (Ph)</t>
  </si>
  <si>
    <t xml:space="preserve">Price based on bulk discount of 7 or more assemblies using Hard Maple and/or Cherry </t>
  </si>
  <si>
    <t>Revision History</t>
  </si>
  <si>
    <t>Assembly Number :</t>
  </si>
  <si>
    <t>Revision</t>
  </si>
  <si>
    <t>Revision Summary</t>
  </si>
  <si>
    <t>Approval Date</t>
  </si>
  <si>
    <t>Bill of Materials for LEGO® Design</t>
  </si>
  <si>
    <t>© 2012-2014 Vertex42 LLC</t>
  </si>
  <si>
    <t>Mini X-Wing™</t>
  </si>
  <si>
    <t>Bill of Materials Template</t>
  </si>
  <si>
    <t>Custom</t>
  </si>
  <si>
    <t>Assembly Revision :</t>
  </si>
  <si>
    <t>Approval Date :</t>
  </si>
  <si>
    <t>Pieces :</t>
  </si>
  <si>
    <t>Total Cost :</t>
  </si>
  <si>
    <t>Category</t>
  </si>
  <si>
    <t>Elem ID</t>
  </si>
  <si>
    <t>Color</t>
  </si>
  <si>
    <t>Unit Cost</t>
  </si>
  <si>
    <t>Cost</t>
  </si>
  <si>
    <t>Bricks, Sloping</t>
  </si>
  <si>
    <t>ROOF TILE 1X1X2/3, ABS</t>
  </si>
  <si>
    <t>1 - White</t>
  </si>
  <si>
    <t>each</t>
  </si>
  <si>
    <t>Plates</t>
  </si>
  <si>
    <t>PLATE 1X1</t>
  </si>
  <si>
    <t>PLATE 1X2</t>
  </si>
  <si>
    <t>194 - Medium Stone Grey</t>
  </si>
  <si>
    <t>PLATE 1X2 W. 1 KNOB</t>
  </si>
  <si>
    <t>PLATE 1X3</t>
  </si>
  <si>
    <t>21 - Bright Red</t>
  </si>
  <si>
    <t>PLATE 2X2</t>
  </si>
  <si>
    <t>Plates, Special</t>
  </si>
  <si>
    <t>PLATE 1X1 ROUND</t>
  </si>
  <si>
    <t>199 - Dark Stone Grey</t>
  </si>
  <si>
    <t>FLAT TILE 1X1</t>
  </si>
  <si>
    <t>RADIATOR GRILLE 1X2</t>
  </si>
  <si>
    <t>PLATE 1X1 W/HOLDER VERTICAL</t>
  </si>
  <si>
    <t>FLAT TILE 1X4</t>
  </si>
  <si>
    <t>PLATE 2X1 W/HOLDER,VERTICAL</t>
  </si>
  <si>
    <t>PLATE 1X2 W. STICK</t>
  </si>
  <si>
    <t>COUPLING PLATE 2X2</t>
  </si>
  <si>
    <t>Bricks, Special</t>
  </si>
  <si>
    <t>PLATE 1X1 W/TOOTH</t>
  </si>
  <si>
    <t>5 - Brick Yellow</t>
  </si>
  <si>
    <t>Technic</t>
  </si>
  <si>
    <t>1/2 BUSH</t>
  </si>
  <si>
    <t>BUSH FOR CROSS AXLE</t>
  </si>
  <si>
    <t>Accessories</t>
  </si>
  <si>
    <t>STICK/AERIAL</t>
  </si>
  <si>
    <t>By Vertex42.com</t>
  </si>
  <si>
    <t>http://www.vertex42.com/ExcelTemplates/bill-of-materials.html</t>
  </si>
  <si>
    <t>This spreadsheet, including all worksheets and associated content is considered a copyrighted work under the United States and other copyright laws.</t>
  </si>
  <si>
    <t>Do not submit copies or modifications of this template to any website or online template gallery.</t>
  </si>
  <si>
    <t>Please review the following license agreement to learn how you may or may not use this template. Thank you.</t>
  </si>
  <si>
    <t>See License Agreement</t>
  </si>
  <si>
    <t>http://www.vertex42.com/licensing/EULA_privateuse.html</t>
  </si>
  <si>
    <t>Do not delete this worksheet. If necessary, you may hide it by right-clicking on the tab and selecting Hide.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</si>
</sst>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_(&quot;$&quot;* #,##0.00_);_(&quot;$&quot;* \(#,##0.00\);_(&quot;$&quot;* &quot;-&quot;??_);_(@_)"/>
    <numFmt numFmtId="166" formatCode="_([$$-409]* #,##0.00_);_([$$-409]* \(#,##0.00\);_([$$-409]* &quot;-&quot;??_);_(@_)"/>
    <numFmt numFmtId="167" formatCode="[$-409]d\-mmm\-yy"/>
    <numFmt numFmtId="168" formatCode="[$-409]dd\-mmm\-yy"/>
  </numFmts>
  <fonts count="24">
    <font>
      <sz val="11.0"/>
      <color rgb="FF000000"/>
      <name val="Arial"/>
    </font>
    <font>
      <sz val="10.0"/>
      <name val="Trebuchet MS"/>
    </font>
    <font>
      <sz val="11.0"/>
      <name val="Arial"/>
    </font>
    <font>
      <sz val="11.0"/>
      <name val="Trebuchet MS"/>
    </font>
    <font>
      <sz val="10.0"/>
      <color rgb="FFFFFFFF"/>
      <name val="Trebuchet MS"/>
    </font>
    <font>
      <u/>
      <sz val="10.0"/>
      <color rgb="FF0000FF"/>
      <name val="Arial"/>
    </font>
    <font>
      <b/>
      <sz val="10.0"/>
      <name val="Trebuchet MS"/>
    </font>
    <font>
      <sz val="22.0"/>
      <color rgb="FF2B4575"/>
      <name val="Arial"/>
    </font>
    <font>
      <b/>
      <sz val="10.0"/>
      <color rgb="FFFFFFFF"/>
      <name val="Arial"/>
    </font>
    <font>
      <sz val="10.0"/>
      <color rgb="FF000000"/>
      <name val="Trebuchet MS"/>
    </font>
    <font>
      <b/>
      <sz val="10.0"/>
      <color rgb="FF000000"/>
      <name val="Trebuchet MS"/>
    </font>
    <font/>
    <font>
      <sz val="18.0"/>
      <name val="Arial"/>
    </font>
    <font>
      <b/>
      <sz val="11.0"/>
      <color rgb="FFFFFFFF"/>
      <name val="Arial"/>
    </font>
    <font>
      <b/>
      <sz val="22.0"/>
      <color rgb="FF2B4575"/>
      <name val="Arial"/>
    </font>
    <font>
      <b/>
      <sz val="18.0"/>
      <color rgb="FF273359"/>
      <name val="Trebuchet MS"/>
    </font>
    <font>
      <u/>
      <sz val="10.0"/>
      <color rgb="FF0000FF"/>
      <name val="Trebuchet MS"/>
    </font>
    <font>
      <sz val="12.0"/>
      <name val="Trebuchet MS"/>
    </font>
    <font>
      <sz val="10.0"/>
      <name val="Arial"/>
    </font>
    <font>
      <sz val="18.0"/>
      <color rgb="FF3A5D9C"/>
      <name val="Arial"/>
    </font>
    <font>
      <sz val="12.0"/>
      <name val="Arial"/>
    </font>
    <font>
      <u/>
      <sz val="10.0"/>
      <color rgb="FF0000FF"/>
      <name val="Arial"/>
    </font>
    <font>
      <b/>
      <sz val="12.0"/>
      <name val="Arial"/>
    </font>
    <font>
      <u/>
      <sz val="12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A5D9C"/>
        <bgColor rgb="FF3A5D9C"/>
      </patternFill>
    </fill>
    <fill>
      <patternFill patternType="solid">
        <fgColor rgb="FFD3DDEE"/>
        <bgColor rgb="FFD3DDEE"/>
      </patternFill>
    </fill>
    <fill>
      <patternFill patternType="solid">
        <fgColor rgb="FFFFFFFF"/>
        <bgColor rgb="FFFFFFFF"/>
      </patternFill>
    </fill>
  </fills>
  <borders count="11">
    <border/>
    <border>
      <bottom style="hair">
        <color rgb="FF000000"/>
      </bottom>
    </border>
    <border>
      <left/>
      <right/>
      <top/>
      <bottom/>
    </border>
    <border>
      <left/>
      <right/>
      <top/>
      <bottom style="thin">
        <color rgb="FF7D9ACE"/>
      </bottom>
    </border>
    <border>
      <left/>
      <right/>
      <top style="thin">
        <color rgb="FF7D9ACE"/>
      </top>
      <bottom style="thin">
        <color rgb="FF7D9ACE"/>
      </bottom>
    </border>
    <border>
      <top style="thin">
        <color rgb="FF7D9ACE"/>
      </top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3A5D9C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2" numFmtId="0" xfId="0" applyAlignment="1" applyBorder="1" applyFont="1">
      <alignment horizontal="right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4" numFmtId="0" xfId="0" applyAlignment="1" applyFont="1">
      <alignment horizontal="right" shrinkToFit="0" wrapText="0"/>
    </xf>
    <xf borderId="0" fillId="0" fontId="5" numFmtId="0" xfId="0" applyAlignment="1" applyFont="1">
      <alignment horizontal="left" shrinkToFit="0" vertical="top" wrapText="0"/>
    </xf>
    <xf borderId="1" fillId="0" fontId="2" numFmtId="0" xfId="0" applyAlignment="1" applyBorder="1" applyFont="1">
      <alignment horizontal="right" readingOrder="0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1" fillId="0" fontId="3" numFmtId="14" xfId="0" applyAlignment="1" applyBorder="1" applyFont="1" applyNumberFormat="1">
      <alignment horizontal="center" readingOrder="0" shrinkToFit="0" wrapText="0"/>
    </xf>
    <xf borderId="1" fillId="0" fontId="3" numFmtId="164" xfId="0" applyAlignment="1" applyBorder="1" applyFont="1" applyNumberFormat="1">
      <alignment horizontal="center" shrinkToFit="0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top" wrapText="0"/>
    </xf>
    <xf borderId="0" fillId="2" fontId="8" numFmtId="0" xfId="0" applyAlignment="1" applyFill="1" applyFont="1">
      <alignment horizontal="left" shrinkToFit="0" vertical="center" wrapText="0"/>
    </xf>
    <xf borderId="0" fillId="2" fontId="8" numFmtId="0" xfId="0" applyAlignment="1" applyFont="1">
      <alignment horizontal="center" readingOrder="0" shrinkToFit="0" vertical="center" wrapText="0"/>
    </xf>
    <xf borderId="0" fillId="2" fontId="8" numFmtId="0" xfId="0" applyAlignment="1" applyFont="1">
      <alignment horizontal="center" shrinkToFit="0" vertical="center" wrapText="0"/>
    </xf>
    <xf borderId="0" fillId="3" fontId="9" numFmtId="1" xfId="0" applyAlignment="1" applyFill="1" applyFont="1" applyNumberFormat="1">
      <alignment horizontal="left" readingOrder="0" shrinkToFit="0" vertical="center" wrapText="0"/>
    </xf>
    <xf borderId="0" fillId="3" fontId="9" numFmtId="0" xfId="0" applyAlignment="1" applyFont="1">
      <alignment readingOrder="0" shrinkToFit="0" vertical="center" wrapText="1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3" fontId="9" numFmtId="0" xfId="0" applyAlignment="1" applyFont="1">
      <alignment shrinkToFit="0" vertical="center" wrapText="0"/>
    </xf>
    <xf borderId="0" fillId="3" fontId="9" numFmtId="165" xfId="0" applyAlignment="1" applyFont="1" applyNumberFormat="1">
      <alignment readingOrder="0" shrinkToFit="0" vertical="center" wrapText="0"/>
    </xf>
    <xf borderId="2" fillId="3" fontId="9" numFmtId="166" xfId="0" applyAlignment="1" applyBorder="1" applyFont="1" applyNumberFormat="1">
      <alignment horizontal="center" shrinkToFit="0" vertical="center" wrapText="0"/>
    </xf>
    <xf borderId="0" fillId="0" fontId="1" numFmtId="0" xfId="0" applyAlignment="1" applyFont="1">
      <alignment readingOrder="0" shrinkToFit="0" wrapText="0"/>
    </xf>
    <xf borderId="0" fillId="4" fontId="9" numFmtId="0" xfId="0" applyAlignment="1" applyFill="1" applyFont="1">
      <alignment horizontal="left" readingOrder="0" shrinkToFit="0" vertical="center" wrapText="0"/>
    </xf>
    <xf borderId="0" fillId="4" fontId="9" numFmtId="0" xfId="0" applyAlignment="1" applyFont="1">
      <alignment readingOrder="0" shrinkToFit="0" vertical="center" wrapText="1"/>
    </xf>
    <xf borderId="0" fillId="4" fontId="9" numFmtId="0" xfId="0" applyAlignment="1" applyFont="1">
      <alignment horizontal="center" readingOrder="0" shrinkToFit="0" vertical="center" wrapText="0"/>
    </xf>
    <xf borderId="0" fillId="4" fontId="9" numFmtId="0" xfId="0" applyAlignment="1" applyFont="1">
      <alignment horizontal="center" shrinkToFit="0" vertical="center" wrapText="0"/>
    </xf>
    <xf borderId="0" fillId="4" fontId="9" numFmtId="0" xfId="0" applyAlignment="1" applyFont="1">
      <alignment shrinkToFit="0" vertical="center" wrapText="0"/>
    </xf>
    <xf borderId="0" fillId="4" fontId="9" numFmtId="165" xfId="0" applyAlignment="1" applyFont="1" applyNumberFormat="1">
      <alignment readingOrder="0" shrinkToFit="0" vertical="center" wrapText="0"/>
    </xf>
    <xf borderId="2" fillId="4" fontId="9" numFmtId="166" xfId="0" applyAlignment="1" applyBorder="1" applyFont="1" applyNumberFormat="1">
      <alignment horizontal="center" shrinkToFit="0" vertical="center" wrapText="0"/>
    </xf>
    <xf borderId="0" fillId="3" fontId="9" numFmtId="0" xfId="0" applyAlignment="1" applyFont="1">
      <alignment horizontal="left" readingOrder="0" shrinkToFit="0" vertical="center" wrapText="0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readingOrder="0" shrinkToFit="0" wrapText="0"/>
    </xf>
    <xf borderId="0" fillId="4" fontId="10" numFmtId="0" xfId="0" applyAlignment="1" applyFont="1">
      <alignment horizontal="center" shrinkToFit="0" wrapText="0"/>
    </xf>
    <xf borderId="2" fillId="4" fontId="10" numFmtId="166" xfId="0" applyAlignment="1" applyBorder="1" applyFont="1" applyNumberFormat="1">
      <alignment horizontal="center" shrinkToFit="0" wrapText="0"/>
    </xf>
    <xf borderId="0" fillId="0" fontId="2" numFmtId="0" xfId="0" applyAlignment="1" applyFont="1">
      <alignment horizontal="right" readingOrder="0" shrinkToFit="0" wrapText="0"/>
    </xf>
    <xf borderId="0" fillId="3" fontId="9" numFmtId="0" xfId="0" applyAlignment="1" applyFont="1">
      <alignment readingOrder="0" vertical="center"/>
    </xf>
    <xf borderId="0" fillId="0" fontId="11" numFmtId="0" xfId="0" applyAlignment="1" applyFont="1">
      <alignment horizontal="right" readingOrder="0" vertical="top"/>
    </xf>
    <xf borderId="0" fillId="0" fontId="11" numFmtId="0" xfId="0" applyAlignment="1" applyFont="1">
      <alignment readingOrder="0"/>
    </xf>
    <xf borderId="0" fillId="0" fontId="12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2" numFmtId="0" xfId="0" applyAlignment="1" applyFont="1">
      <alignment shrinkToFit="0" wrapText="0"/>
    </xf>
    <xf borderId="3" fillId="2" fontId="13" numFmtId="0" xfId="0" applyAlignment="1" applyBorder="1" applyFont="1">
      <alignment horizontal="center" shrinkToFit="0" vertical="center" wrapText="0"/>
    </xf>
    <xf borderId="4" fillId="3" fontId="9" numFmtId="0" xfId="0" applyAlignment="1" applyBorder="1" applyFont="1">
      <alignment horizontal="center" shrinkToFit="0" vertical="top" wrapText="1"/>
    </xf>
    <xf borderId="4" fillId="3" fontId="9" numFmtId="0" xfId="0" applyAlignment="1" applyBorder="1" applyFont="1">
      <alignment horizontal="left" shrinkToFit="0" vertical="top" wrapText="1"/>
    </xf>
    <xf borderId="4" fillId="3" fontId="9" numFmtId="167" xfId="0" applyAlignment="1" applyBorder="1" applyFont="1" applyNumberFormat="1">
      <alignment horizontal="center" shrinkToFit="0" vertical="top" wrapText="1"/>
    </xf>
    <xf borderId="5" fillId="4" fontId="9" numFmtId="0" xfId="0" applyAlignment="1" applyBorder="1" applyFont="1">
      <alignment horizontal="center" shrinkToFit="0" vertical="top" wrapText="1"/>
    </xf>
    <xf borderId="5" fillId="4" fontId="9" numFmtId="0" xfId="0" applyAlignment="1" applyBorder="1" applyFont="1">
      <alignment horizontal="left" shrinkToFit="0" vertical="top" wrapText="1"/>
    </xf>
    <xf borderId="5" fillId="4" fontId="9" numFmtId="167" xfId="0" applyAlignment="1" applyBorder="1" applyFont="1" applyNumberFormat="1">
      <alignment horizontal="center" shrinkToFit="0" vertical="top" wrapText="1"/>
    </xf>
    <xf borderId="0" fillId="3" fontId="0" numFmtId="0" xfId="0" applyAlignment="1" applyFont="1">
      <alignment horizontal="center" shrinkToFit="0" vertical="top" wrapText="0"/>
    </xf>
    <xf borderId="0" fillId="3" fontId="0" numFmtId="0" xfId="0" applyAlignment="1" applyFont="1">
      <alignment horizontal="left" shrinkToFit="0" vertical="top" wrapText="0"/>
    </xf>
    <xf borderId="0" fillId="3" fontId="0" numFmtId="0" xfId="0" applyAlignment="1" applyFont="1">
      <alignment shrinkToFit="0" vertical="top" wrapText="0"/>
    </xf>
    <xf borderId="0" fillId="4" fontId="0" numFmtId="0" xfId="0" applyAlignment="1" applyFont="1">
      <alignment horizontal="center" shrinkToFit="0" vertical="top" wrapText="0"/>
    </xf>
    <xf borderId="0" fillId="4" fontId="0" numFmtId="0" xfId="0" applyAlignment="1" applyFont="1">
      <alignment horizontal="left" shrinkToFit="0" vertical="top" wrapText="0"/>
    </xf>
    <xf borderId="0" fillId="4" fontId="0" numFmtId="0" xfId="0" applyAlignment="1" applyFont="1">
      <alignment shrinkToFit="0" vertical="top" wrapText="0"/>
    </xf>
    <xf borderId="0" fillId="0" fontId="14" numFmtId="0" xfId="0" applyAlignment="1" applyFon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6" numFmtId="0" xfId="0" applyAlignment="1" applyFont="1">
      <alignment shrinkToFit="0" wrapText="0"/>
    </xf>
    <xf borderId="1" fillId="0" fontId="3" numFmtId="0" xfId="0" applyAlignment="1" applyBorder="1" applyFont="1">
      <alignment horizontal="left" shrinkToFit="0" wrapText="0"/>
    </xf>
    <xf borderId="0" fillId="0" fontId="17" numFmtId="0" xfId="0" applyAlignment="1" applyFont="1">
      <alignment horizontal="right" shrinkToFit="0" wrapText="0"/>
    </xf>
    <xf borderId="6" fillId="0" fontId="2" numFmtId="0" xfId="0" applyAlignment="1" applyBorder="1" applyFont="1">
      <alignment horizontal="right" shrinkToFit="0" wrapText="0"/>
    </xf>
    <xf borderId="6" fillId="0" fontId="3" numFmtId="0" xfId="0" applyAlignment="1" applyBorder="1" applyFont="1">
      <alignment horizontal="left" shrinkToFit="0" wrapText="0"/>
    </xf>
    <xf borderId="6" fillId="0" fontId="3" numFmtId="168" xfId="0" applyAlignment="1" applyBorder="1" applyFont="1" applyNumberFormat="1">
      <alignment horizontal="left" shrinkToFit="0" wrapText="0"/>
    </xf>
    <xf borderId="6" fillId="0" fontId="3" numFmtId="0" xfId="0" applyAlignment="1" applyBorder="1" applyFont="1">
      <alignment horizontal="center" shrinkToFit="0" wrapText="0"/>
    </xf>
    <xf borderId="7" fillId="0" fontId="2" numFmtId="0" xfId="0" applyAlignment="1" applyBorder="1" applyFont="1">
      <alignment horizontal="right" shrinkToFit="0" wrapText="0"/>
    </xf>
    <xf borderId="7" fillId="0" fontId="3" numFmtId="164" xfId="0" applyAlignment="1" applyBorder="1" applyFont="1" applyNumberFormat="1">
      <alignment horizontal="center" shrinkToFit="0" wrapText="0"/>
    </xf>
    <xf borderId="0" fillId="2" fontId="8" numFmtId="0" xfId="0" applyAlignment="1" applyFont="1">
      <alignment shrinkToFit="0" vertical="center" wrapText="0"/>
    </xf>
    <xf borderId="0" fillId="3" fontId="9" numFmtId="0" xfId="0" applyAlignment="1" applyFont="1">
      <alignment shrinkToFit="0" vertical="top" wrapText="1"/>
    </xf>
    <xf borderId="0" fillId="3" fontId="9" numFmtId="0" xfId="0" applyAlignment="1" applyFont="1">
      <alignment horizontal="left" shrinkToFit="0" vertical="top" wrapText="0"/>
    </xf>
    <xf borderId="0" fillId="3" fontId="9" numFmtId="0" xfId="0" applyAlignment="1" applyFont="1">
      <alignment horizontal="center" shrinkToFit="0" vertical="top" wrapText="0"/>
    </xf>
    <xf borderId="0" fillId="3" fontId="9" numFmtId="0" xfId="0" applyAlignment="1" applyFont="1">
      <alignment shrinkToFit="0" wrapText="0"/>
    </xf>
    <xf borderId="0" fillId="3" fontId="9" numFmtId="165" xfId="0" applyAlignment="1" applyFont="1" applyNumberFormat="1">
      <alignment shrinkToFit="0" vertical="top" wrapText="0"/>
    </xf>
    <xf borderId="2" fillId="3" fontId="9" numFmtId="166" xfId="0" applyAlignment="1" applyBorder="1" applyFont="1" applyNumberFormat="1">
      <alignment horizontal="center" shrinkToFit="0" vertical="top" wrapText="0"/>
    </xf>
    <xf borderId="0" fillId="4" fontId="9" numFmtId="0" xfId="0" applyAlignment="1" applyFont="1">
      <alignment shrinkToFit="0" vertical="top" wrapText="1"/>
    </xf>
    <xf borderId="0" fillId="4" fontId="9" numFmtId="0" xfId="0" applyAlignment="1" applyFont="1">
      <alignment horizontal="left" shrinkToFit="0" vertical="top" wrapText="0"/>
    </xf>
    <xf borderId="0" fillId="4" fontId="9" numFmtId="0" xfId="0" applyAlignment="1" applyFont="1">
      <alignment horizontal="center" shrinkToFit="0" vertical="top" wrapText="0"/>
    </xf>
    <xf borderId="0" fillId="4" fontId="9" numFmtId="0" xfId="0" applyAlignment="1" applyFont="1">
      <alignment shrinkToFit="0" wrapText="0"/>
    </xf>
    <xf borderId="0" fillId="4" fontId="9" numFmtId="165" xfId="0" applyAlignment="1" applyFont="1" applyNumberFormat="1">
      <alignment shrinkToFit="0" vertical="top" wrapText="0"/>
    </xf>
    <xf borderId="2" fillId="4" fontId="9" numFmtId="166" xfId="0" applyAlignment="1" applyBorder="1" applyFont="1" applyNumberFormat="1">
      <alignment horizontal="center" shrinkToFit="0" vertical="top" wrapText="0"/>
    </xf>
    <xf borderId="0" fillId="4" fontId="10" numFmtId="165" xfId="0" applyAlignment="1" applyFont="1" applyNumberFormat="1">
      <alignment shrinkToFit="0" wrapText="0"/>
    </xf>
    <xf borderId="8" fillId="0" fontId="18" numFmtId="0" xfId="0" applyAlignment="1" applyBorder="1" applyFont="1">
      <alignment shrinkToFit="0" wrapText="0"/>
    </xf>
    <xf borderId="9" fillId="0" fontId="19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shrinkToFit="0" wrapText="0"/>
    </xf>
    <xf borderId="10" fillId="0" fontId="20" numFmtId="0" xfId="0" applyAlignment="1" applyBorder="1" applyFont="1">
      <alignment horizontal="left" shrinkToFit="0" wrapText="1"/>
    </xf>
    <xf borderId="8" fillId="0" fontId="21" numFmtId="0" xfId="0" applyAlignment="1" applyBorder="1" applyFont="1">
      <alignment horizontal="left" shrinkToFit="0" vertical="top" wrapText="1"/>
    </xf>
    <xf borderId="8" fillId="0" fontId="20" numFmtId="0" xfId="0" applyAlignment="1" applyBorder="1" applyFont="1">
      <alignment horizontal="left" shrinkToFit="0" wrapText="1"/>
    </xf>
    <xf borderId="8" fillId="0" fontId="22" numFmtId="0" xfId="0" applyAlignment="1" applyBorder="1" applyFont="1">
      <alignment horizontal="left" shrinkToFit="0" wrapText="1"/>
    </xf>
    <xf borderId="8" fillId="0" fontId="23" numFmtId="0" xfId="0" applyAlignment="1" applyBorder="1" applyFont="1">
      <alignment horizontal="left" shrinkToFit="0" wrapText="1"/>
    </xf>
    <xf borderId="8" fillId="0" fontId="20" numFmtId="0" xfId="0" applyAlignment="1" applyBorder="1" applyFont="1">
      <alignment horizontal="left" shrinkToFit="0" wrapText="0"/>
    </xf>
    <xf borderId="8" fillId="0" fontId="2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2.jpg"/><Relationship Id="rId3" Type="http://schemas.openxmlformats.org/officeDocument/2006/relationships/image" Target="../media/image27.jpg"/><Relationship Id="rId4" Type="http://schemas.openxmlformats.org/officeDocument/2006/relationships/image" Target="../media/image22.jpg"/><Relationship Id="rId5" Type="http://schemas.openxmlformats.org/officeDocument/2006/relationships/image" Target="../media/image11.jpg"/><Relationship Id="rId6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24.png"/><Relationship Id="rId11" Type="http://schemas.openxmlformats.org/officeDocument/2006/relationships/image" Target="../media/image3.png"/><Relationship Id="rId22" Type="http://schemas.openxmlformats.org/officeDocument/2006/relationships/image" Target="../media/image26.png"/><Relationship Id="rId10" Type="http://schemas.openxmlformats.org/officeDocument/2006/relationships/image" Target="../media/image23.png"/><Relationship Id="rId21" Type="http://schemas.openxmlformats.org/officeDocument/2006/relationships/image" Target="../media/image28.png"/><Relationship Id="rId13" Type="http://schemas.openxmlformats.org/officeDocument/2006/relationships/image" Target="../media/image10.png"/><Relationship Id="rId12" Type="http://schemas.openxmlformats.org/officeDocument/2006/relationships/image" Target="../media/image19.png"/><Relationship Id="rId1" Type="http://schemas.openxmlformats.org/officeDocument/2006/relationships/image" Target="../media/image16.png"/><Relationship Id="rId2" Type="http://schemas.openxmlformats.org/officeDocument/2006/relationships/image" Target="../media/image21.png"/><Relationship Id="rId3" Type="http://schemas.openxmlformats.org/officeDocument/2006/relationships/image" Target="../media/image25.png"/><Relationship Id="rId4" Type="http://schemas.openxmlformats.org/officeDocument/2006/relationships/image" Target="../media/image17.png"/><Relationship Id="rId9" Type="http://schemas.openxmlformats.org/officeDocument/2006/relationships/image" Target="../media/image14.png"/><Relationship Id="rId15" Type="http://schemas.openxmlformats.org/officeDocument/2006/relationships/image" Target="../media/image5.png"/><Relationship Id="rId14" Type="http://schemas.openxmlformats.org/officeDocument/2006/relationships/image" Target="../media/image12.png"/><Relationship Id="rId17" Type="http://schemas.openxmlformats.org/officeDocument/2006/relationships/image" Target="../media/image6.png"/><Relationship Id="rId16" Type="http://schemas.openxmlformats.org/officeDocument/2006/relationships/image" Target="../media/image7.png"/><Relationship Id="rId5" Type="http://schemas.openxmlformats.org/officeDocument/2006/relationships/image" Target="../media/image4.png"/><Relationship Id="rId19" Type="http://schemas.openxmlformats.org/officeDocument/2006/relationships/image" Target="../media/image9.png"/><Relationship Id="rId6" Type="http://schemas.openxmlformats.org/officeDocument/2006/relationships/image" Target="../media/image18.png"/><Relationship Id="rId18" Type="http://schemas.openxmlformats.org/officeDocument/2006/relationships/image" Target="../media/image8.png"/><Relationship Id="rId7" Type="http://schemas.openxmlformats.org/officeDocument/2006/relationships/image" Target="../media/image15.png"/><Relationship Id="rId8" Type="http://schemas.openxmlformats.org/officeDocument/2006/relationships/image" Target="../media/image20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0</xdr:row>
      <xdr:rowOff>342900</xdr:rowOff>
    </xdr:from>
    <xdr:ext cx="3333750" cy="2505075"/>
    <xdr:pic>
      <xdr:nvPicPr>
        <xdr:cNvPr id="0" name="image13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76200</xdr:colOff>
      <xdr:row>7</xdr:row>
      <xdr:rowOff>981075</xdr:rowOff>
    </xdr:from>
    <xdr:ext cx="952500" cy="952500"/>
    <xdr:pic>
      <xdr:nvPicPr>
        <xdr:cNvPr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9</xdr:row>
      <xdr:rowOff>971550</xdr:rowOff>
    </xdr:from>
    <xdr:ext cx="952500" cy="876300"/>
    <xdr:pic>
      <xdr:nvPicPr>
        <xdr:cNvPr id="0" name="image27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10</xdr:row>
      <xdr:rowOff>942975</xdr:rowOff>
    </xdr:from>
    <xdr:ext cx="952500" cy="952500"/>
    <xdr:pic>
      <xdr:nvPicPr>
        <xdr:cNvPr id="0" name="image22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8</xdr:row>
      <xdr:rowOff>981075</xdr:rowOff>
    </xdr:from>
    <xdr:ext cx="952500" cy="952500"/>
    <xdr:pic>
      <xdr:nvPicPr>
        <xdr:cNvPr id="0" name="image11.jp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95250</xdr:colOff>
      <xdr:row>5</xdr:row>
      <xdr:rowOff>2057400</xdr:rowOff>
    </xdr:from>
    <xdr:ext cx="952500" cy="952500"/>
    <xdr:pic>
      <xdr:nvPicPr>
        <xdr:cNvPr id="0" name="image1.jp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161925</xdr:colOff>
      <xdr:row>10</xdr:row>
      <xdr:rowOff>0</xdr:rowOff>
    </xdr:from>
    <xdr:ext cx="609600" cy="60960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11</xdr:row>
      <xdr:rowOff>0</xdr:rowOff>
    </xdr:from>
    <xdr:ext cx="609600" cy="60960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12</xdr:row>
      <xdr:rowOff>0</xdr:rowOff>
    </xdr:from>
    <xdr:ext cx="609600" cy="609600"/>
    <xdr:pic>
      <xdr:nvPicPr>
        <xdr:cNvPr id="0" name="image2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13</xdr:row>
      <xdr:rowOff>0</xdr:rowOff>
    </xdr:from>
    <xdr:ext cx="609600" cy="609600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14</xdr:row>
      <xdr:rowOff>0</xdr:rowOff>
    </xdr:from>
    <xdr:ext cx="609600" cy="6096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15</xdr:row>
      <xdr:rowOff>0</xdr:rowOff>
    </xdr:from>
    <xdr:ext cx="609600" cy="609600"/>
    <xdr:pic>
      <xdr:nvPicPr>
        <xdr:cNvPr id="0" name="image1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16</xdr:row>
      <xdr:rowOff>0</xdr:rowOff>
    </xdr:from>
    <xdr:ext cx="609600" cy="609600"/>
    <xdr:pic>
      <xdr:nvPicPr>
        <xdr:cNvPr id="0" name="image1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17</xdr:row>
      <xdr:rowOff>0</xdr:rowOff>
    </xdr:from>
    <xdr:ext cx="609600" cy="609600"/>
    <xdr:pic>
      <xdr:nvPicPr>
        <xdr:cNvPr id="0" name="image20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18</xdr:row>
      <xdr:rowOff>0</xdr:rowOff>
    </xdr:from>
    <xdr:ext cx="609600" cy="609600"/>
    <xdr:pic>
      <xdr:nvPicPr>
        <xdr:cNvPr id="0" name="image1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19</xdr:row>
      <xdr:rowOff>0</xdr:rowOff>
    </xdr:from>
    <xdr:ext cx="609600" cy="609600"/>
    <xdr:pic>
      <xdr:nvPicPr>
        <xdr:cNvPr id="0" name="image2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20</xdr:row>
      <xdr:rowOff>0</xdr:rowOff>
    </xdr:from>
    <xdr:ext cx="609600" cy="6096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21</xdr:row>
      <xdr:rowOff>0</xdr:rowOff>
    </xdr:from>
    <xdr:ext cx="609600" cy="609600"/>
    <xdr:pic>
      <xdr:nvPicPr>
        <xdr:cNvPr id="0" name="image1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22</xdr:row>
      <xdr:rowOff>0</xdr:rowOff>
    </xdr:from>
    <xdr:ext cx="609600" cy="609600"/>
    <xdr:pic>
      <xdr:nvPicPr>
        <xdr:cNvPr id="0" name="image10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23</xdr:row>
      <xdr:rowOff>0</xdr:rowOff>
    </xdr:from>
    <xdr:ext cx="609600" cy="609600"/>
    <xdr:pic>
      <xdr:nvPicPr>
        <xdr:cNvPr id="0" name="image12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27</xdr:row>
      <xdr:rowOff>0</xdr:rowOff>
    </xdr:from>
    <xdr:ext cx="609600" cy="609600"/>
    <xdr:pic>
      <xdr:nvPicPr>
        <xdr:cNvPr id="0" name="image5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29</xdr:row>
      <xdr:rowOff>0</xdr:rowOff>
    </xdr:from>
    <xdr:ext cx="609600" cy="609600"/>
    <xdr:pic>
      <xdr:nvPicPr>
        <xdr:cNvPr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161925</xdr:colOff>
      <xdr:row>28</xdr:row>
      <xdr:rowOff>9525</xdr:rowOff>
    </xdr:from>
    <xdr:ext cx="609600" cy="619125"/>
    <xdr:pic>
      <xdr:nvPicPr>
        <xdr:cNvPr id="0" name="image6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26</xdr:row>
      <xdr:rowOff>0</xdr:rowOff>
    </xdr:from>
    <xdr:ext cx="609600" cy="609600"/>
    <xdr:pic>
      <xdr:nvPicPr>
        <xdr:cNvPr id="0" name="image8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25</xdr:row>
      <xdr:rowOff>0</xdr:rowOff>
    </xdr:from>
    <xdr:ext cx="609600" cy="609600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24</xdr:row>
      <xdr:rowOff>0</xdr:rowOff>
    </xdr:from>
    <xdr:ext cx="609600" cy="609600"/>
    <xdr:pic>
      <xdr:nvPicPr>
        <xdr:cNvPr id="0" name="image24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0</xdr:row>
      <xdr:rowOff>0</xdr:rowOff>
    </xdr:from>
    <xdr:ext cx="1419225" cy="314325"/>
    <xdr:pic>
      <xdr:nvPicPr>
        <xdr:cNvPr id="0" name="image2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314325</xdr:colOff>
      <xdr:row>0</xdr:row>
      <xdr:rowOff>152400</xdr:rowOff>
    </xdr:from>
    <xdr:ext cx="2667000" cy="1714500"/>
    <xdr:pic>
      <xdr:nvPicPr>
        <xdr:cNvPr id="0" name="image2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3562350</xdr:colOff>
      <xdr:row>0</xdr:row>
      <xdr:rowOff>85725</xdr:rowOff>
    </xdr:from>
    <xdr:ext cx="1419225" cy="314325"/>
    <xdr:pic>
      <xdr:nvPicPr>
        <xdr:cNvPr id="0" name="image2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vertex42.com/ExcelTemplates/free-timesheet-template.html" TargetMode="External"/><Relationship Id="rId2" Type="http://schemas.openxmlformats.org/officeDocument/2006/relationships/hyperlink" Target="http://www.vertex42.com/ExcelTemplates/bill-of-materials.html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vertex42.com/ExcelTemplates/bill-of-materials.html" TargetMode="External"/><Relationship Id="rId2" Type="http://schemas.openxmlformats.org/officeDocument/2006/relationships/hyperlink" Target="http://www.vertex42.com/licensing/EULA_privateuse.html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cols>
    <col customWidth="1" min="1" max="1" width="5.88"/>
    <col customWidth="1" min="2" max="2" width="12.38"/>
    <col customWidth="1" min="3" max="3" width="21.0"/>
    <col customWidth="1" min="4" max="4" width="11.5"/>
    <col customWidth="1" min="5" max="5" width="8.88"/>
    <col customWidth="1" min="6" max="6" width="14.88"/>
    <col customWidth="1" hidden="1" min="7" max="7" width="13.5"/>
    <col customWidth="1" min="8" max="8" width="8.75"/>
    <col customWidth="1" min="9" max="9" width="8.63"/>
    <col customWidth="1" min="10" max="10" width="22.63"/>
    <col customWidth="1" min="11" max="11" width="10.25"/>
    <col customWidth="1" min="12" max="12" width="14.38"/>
  </cols>
  <sheetData>
    <row r="1" ht="16.5" customHeight="1">
      <c r="A1" s="1"/>
      <c r="B1" s="2" t="s">
        <v>0</v>
      </c>
      <c r="C1" s="3" t="s">
        <v>1</v>
      </c>
      <c r="D1" s="4"/>
      <c r="E1" s="4"/>
      <c r="F1" s="5" t="s">
        <v>2</v>
      </c>
      <c r="G1" s="5"/>
      <c r="H1" s="4"/>
      <c r="I1" s="4"/>
      <c r="J1" s="6"/>
      <c r="K1" s="4"/>
      <c r="L1" s="4"/>
    </row>
    <row r="2" ht="18.0" customHeight="1">
      <c r="A2" s="1"/>
      <c r="B2" s="7"/>
      <c r="C2" s="8"/>
      <c r="D2" s="9"/>
      <c r="E2" s="4"/>
      <c r="F2" s="4"/>
      <c r="G2" s="4"/>
      <c r="H2" s="4"/>
      <c r="I2" s="4"/>
      <c r="J2" s="4"/>
      <c r="K2" s="4"/>
      <c r="L2" s="4"/>
    </row>
    <row r="3" ht="18.0" customHeight="1">
      <c r="A3" s="1"/>
      <c r="B3" s="7" t="s">
        <v>3</v>
      </c>
      <c r="C3" s="10">
        <v>41999.0</v>
      </c>
      <c r="D3" s="9"/>
      <c r="E3" s="4"/>
      <c r="F3" s="4"/>
      <c r="G3" s="4"/>
      <c r="H3" s="4"/>
      <c r="I3" s="4"/>
      <c r="J3" s="4"/>
      <c r="K3" s="4"/>
      <c r="L3" s="4"/>
    </row>
    <row r="4" ht="16.5" customHeight="1">
      <c r="A4" s="1"/>
      <c r="B4" s="7" t="s">
        <v>4</v>
      </c>
      <c r="C4" s="11">
        <f>BillOfMaterials!$I$14</f>
        <v>78</v>
      </c>
      <c r="D4" s="12" t="s">
        <v>5</v>
      </c>
      <c r="E4" s="13"/>
      <c r="F4" s="4"/>
      <c r="G4" s="4"/>
      <c r="H4" s="13"/>
      <c r="I4" s="13"/>
      <c r="J4" s="4"/>
      <c r="K4" s="4"/>
      <c r="L4" s="4"/>
    </row>
    <row r="5" ht="18.75" customHeight="1">
      <c r="A5" s="14"/>
      <c r="B5" s="14"/>
      <c r="C5" s="14"/>
      <c r="D5" s="15"/>
      <c r="E5" s="13"/>
      <c r="F5" s="4"/>
      <c r="G5" s="4"/>
      <c r="H5" s="13"/>
      <c r="I5" s="13"/>
      <c r="J5" s="4"/>
      <c r="K5" s="4"/>
      <c r="L5" s="4"/>
    </row>
    <row r="6" ht="135.75" customHeight="1">
      <c r="A6" s="14" t="s">
        <v>6</v>
      </c>
      <c r="D6" s="15"/>
      <c r="E6" s="13"/>
      <c r="F6" s="4"/>
      <c r="G6" s="4"/>
      <c r="H6" s="13"/>
      <c r="I6" s="13"/>
      <c r="J6" s="4"/>
      <c r="K6" s="4"/>
      <c r="L6" s="4"/>
    </row>
    <row r="7" ht="19.5" customHeight="1">
      <c r="A7" s="16" t="s">
        <v>7</v>
      </c>
      <c r="B7" s="16" t="s">
        <v>8</v>
      </c>
      <c r="C7" s="16" t="s">
        <v>9</v>
      </c>
      <c r="D7" s="17" t="s">
        <v>10</v>
      </c>
      <c r="E7" s="18" t="s">
        <v>11</v>
      </c>
      <c r="F7" s="18" t="s">
        <v>12</v>
      </c>
      <c r="G7" s="18" t="s">
        <v>13</v>
      </c>
      <c r="H7" s="17" t="s">
        <v>14</v>
      </c>
      <c r="I7" s="17" t="s">
        <v>15</v>
      </c>
      <c r="J7" s="4"/>
      <c r="K7" s="4"/>
      <c r="L7" s="4"/>
    </row>
    <row r="8" ht="78.75" customHeight="1">
      <c r="A8" s="19">
        <v>1.0</v>
      </c>
      <c r="B8" s="20" t="s">
        <v>16</v>
      </c>
      <c r="C8" s="20" t="s">
        <v>17</v>
      </c>
      <c r="D8" s="21">
        <v>6.0</v>
      </c>
      <c r="E8" s="21" t="s">
        <v>18</v>
      </c>
      <c r="F8" s="22"/>
      <c r="G8" s="23"/>
      <c r="H8" s="24">
        <v>3.5</v>
      </c>
      <c r="I8" s="25">
        <f>BillOfMaterials!$D8*BillOfMaterials!$H8</f>
        <v>21</v>
      </c>
      <c r="J8" s="26"/>
      <c r="K8" s="4"/>
      <c r="L8" s="4"/>
    </row>
    <row r="9" ht="77.25" customHeight="1">
      <c r="A9" s="27">
        <v>2.0</v>
      </c>
      <c r="B9" s="28" t="s">
        <v>19</v>
      </c>
      <c r="C9" s="28" t="s">
        <v>20</v>
      </c>
      <c r="D9" s="29">
        <v>3.0</v>
      </c>
      <c r="E9" s="29" t="s">
        <v>21</v>
      </c>
      <c r="F9" s="30"/>
      <c r="G9" s="31"/>
      <c r="H9" s="32">
        <v>4.0</v>
      </c>
      <c r="I9" s="33">
        <f>BillOfMaterials!$D9*BillOfMaterials!$H9</f>
        <v>12</v>
      </c>
      <c r="J9" s="4"/>
      <c r="K9" s="4"/>
      <c r="L9" s="4"/>
    </row>
    <row r="10" ht="75.0" customHeight="1">
      <c r="A10" s="34">
        <v>3.0</v>
      </c>
      <c r="B10" s="20" t="s">
        <v>22</v>
      </c>
      <c r="C10" s="20" t="s">
        <v>23</v>
      </c>
      <c r="D10" s="21">
        <v>1.0</v>
      </c>
      <c r="E10" s="21" t="s">
        <v>24</v>
      </c>
      <c r="F10" s="29"/>
      <c r="G10" s="23"/>
      <c r="H10" s="24">
        <v>10.0</v>
      </c>
      <c r="I10" s="25">
        <f>BillOfMaterials!$D10*BillOfMaterials!$H10</f>
        <v>10</v>
      </c>
      <c r="J10" s="4"/>
      <c r="K10" s="4"/>
      <c r="L10" s="4"/>
    </row>
    <row r="11" ht="73.5" customHeight="1">
      <c r="A11" s="27">
        <v>4.0</v>
      </c>
      <c r="B11" s="28" t="s">
        <v>25</v>
      </c>
      <c r="C11" s="28" t="s">
        <v>26</v>
      </c>
      <c r="D11" s="29">
        <v>1200.0</v>
      </c>
      <c r="E11" s="29" t="s">
        <v>27</v>
      </c>
      <c r="F11" s="22"/>
      <c r="G11" s="31"/>
      <c r="H11" s="32">
        <f>0.125/10</f>
        <v>0.0125</v>
      </c>
      <c r="I11" s="33">
        <f>BillOfMaterials!$D11*BillOfMaterials!$H11</f>
        <v>15</v>
      </c>
      <c r="J11" s="4"/>
      <c r="K11" s="4"/>
      <c r="L11" s="4"/>
    </row>
    <row r="12" ht="75.75" customHeight="1">
      <c r="A12" s="34">
        <v>5.0</v>
      </c>
      <c r="B12" s="20" t="s">
        <v>28</v>
      </c>
      <c r="C12" s="20" t="s">
        <v>29</v>
      </c>
      <c r="D12" s="21">
        <v>60.0</v>
      </c>
      <c r="E12" s="21" t="s">
        <v>30</v>
      </c>
      <c r="G12" s="23"/>
      <c r="H12" s="24">
        <v>0.0</v>
      </c>
      <c r="I12" s="25">
        <f>BillOfMaterials!$D12*BillOfMaterials!$H12</f>
        <v>0</v>
      </c>
      <c r="J12" s="4"/>
      <c r="K12" s="4"/>
      <c r="L12" s="4"/>
    </row>
    <row r="13" ht="45.0" customHeight="1">
      <c r="A13" s="27">
        <v>6.0</v>
      </c>
      <c r="B13" s="28" t="s">
        <v>31</v>
      </c>
      <c r="C13" s="28" t="s">
        <v>32</v>
      </c>
      <c r="D13" s="29">
        <v>1.0</v>
      </c>
      <c r="E13" s="29"/>
      <c r="F13" s="29"/>
      <c r="G13" s="31"/>
      <c r="H13" s="32">
        <v>20.0</v>
      </c>
      <c r="I13" s="33">
        <f>BillOfMaterials!$D13*BillOfMaterials!$H13</f>
        <v>20</v>
      </c>
      <c r="J13" s="4"/>
      <c r="K13" s="4"/>
      <c r="L13" s="4"/>
    </row>
    <row r="14" ht="15.0" customHeight="1">
      <c r="A14" s="35"/>
      <c r="B14" s="36" t="s">
        <v>33</v>
      </c>
      <c r="C14" s="35"/>
      <c r="D14" s="37"/>
      <c r="E14" s="37"/>
      <c r="F14" s="35"/>
      <c r="G14" s="35"/>
      <c r="H14" s="35" t="s">
        <v>15</v>
      </c>
      <c r="I14" s="38">
        <f>SUBTOTAL(109,BillOfMaterials!$I$8:$I$13)</f>
        <v>78</v>
      </c>
      <c r="J14" s="4"/>
      <c r="K14" s="4"/>
      <c r="L14" s="4"/>
    </row>
    <row r="15">
      <c r="A15" s="39" t="s">
        <v>34</v>
      </c>
      <c r="B15" s="26" t="s">
        <v>35</v>
      </c>
      <c r="C15" s="4"/>
      <c r="D15" s="4"/>
      <c r="E15" s="9"/>
      <c r="F15" s="9"/>
      <c r="G15" s="9"/>
      <c r="H15" s="9"/>
      <c r="I15" s="4"/>
      <c r="J15" s="4"/>
      <c r="K15" s="4"/>
      <c r="L15" s="4"/>
    </row>
    <row r="16">
      <c r="A16" s="39" t="s">
        <v>34</v>
      </c>
      <c r="B16" s="20" t="s">
        <v>36</v>
      </c>
      <c r="C16" s="20" t="s">
        <v>37</v>
      </c>
      <c r="D16" s="20" t="s">
        <v>38</v>
      </c>
      <c r="E16" s="40" t="s">
        <v>39</v>
      </c>
      <c r="F16" s="20"/>
      <c r="G16" s="9"/>
      <c r="H16" s="9"/>
      <c r="I16" s="4"/>
      <c r="J16" s="4"/>
      <c r="K16" s="4"/>
      <c r="L16" s="4"/>
    </row>
    <row r="17">
      <c r="A17" s="41" t="s">
        <v>5</v>
      </c>
      <c r="B17" s="42" t="s">
        <v>40</v>
      </c>
      <c r="G17" s="9"/>
      <c r="H17" s="9"/>
      <c r="I17" s="4"/>
      <c r="J17" s="4"/>
      <c r="K17" s="4"/>
      <c r="L17" s="4"/>
    </row>
    <row r="18">
      <c r="A18" s="39"/>
      <c r="B18" s="42"/>
      <c r="C18" s="42"/>
      <c r="D18" s="42"/>
      <c r="E18" s="42"/>
      <c r="F18" s="42"/>
      <c r="G18" s="9"/>
      <c r="H18" s="9"/>
      <c r="I18" s="4"/>
      <c r="J18" s="4"/>
      <c r="K18" s="4"/>
      <c r="L18" s="4"/>
    </row>
    <row r="19">
      <c r="G19" s="9"/>
      <c r="H19" s="9"/>
      <c r="I19" s="4"/>
      <c r="J19" s="4"/>
      <c r="K19" s="4"/>
      <c r="L19" s="4"/>
    </row>
    <row r="20">
      <c r="A20" s="39"/>
      <c r="B20" s="42"/>
      <c r="C20" s="4"/>
      <c r="D20" s="4"/>
      <c r="E20" s="9"/>
      <c r="F20" s="9"/>
      <c r="G20" s="9"/>
      <c r="H20" s="9"/>
      <c r="I20" s="4"/>
      <c r="J20" s="4"/>
      <c r="K20" s="4"/>
      <c r="L20" s="4"/>
    </row>
    <row r="21">
      <c r="A21" s="39"/>
      <c r="G21" s="9"/>
      <c r="H21" s="9"/>
      <c r="I21" s="4"/>
      <c r="J21" s="4"/>
      <c r="K21" s="4"/>
      <c r="L21" s="4"/>
    </row>
    <row r="22">
      <c r="A22" s="9"/>
      <c r="B22" s="4"/>
      <c r="C22" s="4"/>
      <c r="D22" s="4"/>
      <c r="E22" s="9"/>
      <c r="F22" s="9"/>
      <c r="G22" s="9"/>
      <c r="H22" s="9"/>
      <c r="I22" s="4"/>
      <c r="J22" s="4"/>
      <c r="K22" s="4"/>
      <c r="L22" s="4"/>
    </row>
    <row r="23">
      <c r="A23" s="9"/>
      <c r="B23" s="4"/>
      <c r="C23" s="4"/>
      <c r="D23" s="4"/>
      <c r="E23" s="9"/>
      <c r="F23" s="9"/>
      <c r="G23" s="9"/>
      <c r="H23" s="9"/>
      <c r="I23" s="4"/>
      <c r="J23" s="4"/>
      <c r="K23" s="4"/>
      <c r="L23" s="4"/>
    </row>
    <row r="24">
      <c r="A24" s="9"/>
      <c r="B24" s="4"/>
      <c r="C24" s="4"/>
      <c r="D24" s="4"/>
      <c r="E24" s="9"/>
      <c r="F24" s="9"/>
      <c r="G24" s="9"/>
      <c r="H24" s="9"/>
      <c r="I24" s="4"/>
      <c r="J24" s="4"/>
      <c r="K24" s="4"/>
      <c r="L24" s="4"/>
    </row>
    <row r="25">
      <c r="A25" s="9"/>
      <c r="B25" s="4"/>
      <c r="C25" s="4"/>
      <c r="D25" s="4"/>
      <c r="E25" s="9"/>
      <c r="F25" s="9"/>
      <c r="G25" s="9"/>
      <c r="H25" s="9"/>
      <c r="I25" s="4"/>
      <c r="J25" s="4"/>
      <c r="K25" s="4"/>
      <c r="L25" s="4"/>
    </row>
    <row r="26">
      <c r="A26" s="9"/>
      <c r="B26" s="4"/>
      <c r="C26" s="4"/>
      <c r="D26" s="4"/>
      <c r="E26" s="9"/>
      <c r="F26" s="9"/>
      <c r="G26" s="9"/>
      <c r="H26" s="9"/>
      <c r="I26" s="4"/>
      <c r="J26" s="4"/>
      <c r="K26" s="4"/>
      <c r="L26" s="4"/>
    </row>
  </sheetData>
  <mergeCells count="3">
    <mergeCell ref="B21:F21"/>
    <mergeCell ref="A6:C6"/>
    <mergeCell ref="B17:F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cols>
    <col customWidth="1" min="1" max="1" width="11.88"/>
    <col customWidth="1" min="2" max="2" width="44.25"/>
    <col customWidth="1" min="3" max="3" width="20.63"/>
    <col customWidth="1" min="4" max="6" width="8.63"/>
  </cols>
  <sheetData>
    <row r="1" ht="23.25" customHeight="1">
      <c r="A1" s="43" t="s">
        <v>41</v>
      </c>
      <c r="B1" s="9"/>
      <c r="C1" s="9"/>
    </row>
    <row r="2" ht="14.25" customHeight="1">
      <c r="A2" s="9"/>
      <c r="B2" s="9"/>
      <c r="C2" s="9"/>
    </row>
    <row r="3" ht="14.25" customHeight="1">
      <c r="A3" s="9"/>
      <c r="B3" s="44" t="s">
        <v>0</v>
      </c>
      <c r="C3" s="45"/>
    </row>
    <row r="4" ht="14.25" customHeight="1">
      <c r="A4" s="9"/>
      <c r="B4" s="44" t="s">
        <v>42</v>
      </c>
      <c r="C4" s="45"/>
    </row>
    <row r="5" ht="14.25" customHeight="1">
      <c r="A5" s="9"/>
      <c r="B5" s="9"/>
      <c r="C5" s="9"/>
    </row>
    <row r="6" ht="15.0" customHeight="1">
      <c r="A6" s="46" t="s">
        <v>43</v>
      </c>
      <c r="B6" s="46" t="s">
        <v>44</v>
      </c>
      <c r="C6" s="46" t="s">
        <v>45</v>
      </c>
    </row>
    <row r="7" ht="25.5" customHeight="1">
      <c r="A7" s="47"/>
      <c r="B7" s="48"/>
      <c r="C7" s="49"/>
    </row>
    <row r="8" ht="25.5" customHeight="1">
      <c r="A8" s="50"/>
      <c r="B8" s="51"/>
      <c r="C8" s="52"/>
    </row>
    <row r="9" ht="25.5" customHeight="1">
      <c r="A9" s="53"/>
      <c r="B9" s="54"/>
      <c r="C9" s="55"/>
    </row>
    <row r="10" ht="25.5" customHeight="1">
      <c r="A10" s="56"/>
      <c r="B10" s="57"/>
      <c r="C10" s="58"/>
    </row>
    <row r="11" ht="25.5" customHeight="1">
      <c r="A11" s="53"/>
      <c r="B11" s="54"/>
      <c r="C11" s="55"/>
    </row>
    <row r="12" ht="25.5" customHeight="1">
      <c r="A12" s="56"/>
      <c r="B12" s="57"/>
      <c r="C12" s="58"/>
    </row>
    <row r="13" ht="25.5" customHeight="1">
      <c r="A13" s="53"/>
      <c r="B13" s="54"/>
      <c r="C13" s="55"/>
    </row>
    <row r="14" ht="25.5" customHeight="1">
      <c r="A14" s="56"/>
      <c r="B14" s="57"/>
      <c r="C14" s="58"/>
    </row>
    <row r="15" ht="25.5" customHeight="1">
      <c r="A15" s="53"/>
      <c r="B15" s="54"/>
      <c r="C15" s="55"/>
    </row>
    <row r="16" ht="25.5" customHeight="1">
      <c r="A16" s="56"/>
      <c r="B16" s="57"/>
      <c r="C16" s="58"/>
    </row>
    <row r="17" ht="25.5" customHeight="1">
      <c r="A17" s="53"/>
      <c r="B17" s="54"/>
      <c r="C17" s="55"/>
    </row>
    <row r="18" ht="25.5" customHeight="1">
      <c r="A18" s="56"/>
      <c r="B18" s="57"/>
      <c r="C18" s="58"/>
    </row>
    <row r="19" ht="25.5" customHeight="1">
      <c r="A19" s="53"/>
      <c r="B19" s="54"/>
      <c r="C19" s="55"/>
    </row>
    <row r="20" ht="25.5" customHeight="1">
      <c r="A20" s="56"/>
      <c r="B20" s="57"/>
      <c r="C20" s="58"/>
    </row>
    <row r="21" ht="25.5" customHeight="1">
      <c r="A21" s="53"/>
      <c r="B21" s="54"/>
      <c r="C21" s="55"/>
    </row>
    <row r="22" ht="25.5" customHeight="1">
      <c r="A22" s="56"/>
      <c r="B22" s="57"/>
      <c r="C22" s="58"/>
    </row>
    <row r="23" ht="25.5" customHeight="1">
      <c r="A23" s="53"/>
      <c r="B23" s="54"/>
      <c r="C23" s="55"/>
    </row>
    <row r="24" ht="25.5" customHeight="1">
      <c r="A24" s="56"/>
      <c r="B24" s="57"/>
      <c r="C24" s="58"/>
    </row>
    <row r="25" ht="25.5" customHeight="1">
      <c r="A25" s="53"/>
      <c r="B25" s="54"/>
      <c r="C25" s="55"/>
    </row>
    <row r="26" ht="25.5" customHeight="1">
      <c r="A26" s="56"/>
      <c r="B26" s="57"/>
      <c r="C26" s="5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cols>
    <col customWidth="1" min="1" max="1" width="9.63"/>
    <col customWidth="1" min="2" max="3" width="7.5"/>
    <col customWidth="1" min="4" max="4" width="18.75"/>
    <col customWidth="1" min="5" max="5" width="14.63"/>
    <col customWidth="1" min="6" max="6" width="6.38"/>
    <col customWidth="1" min="7" max="7" width="6.13"/>
    <col customWidth="1" min="8" max="8" width="11.88"/>
    <col customWidth="1" min="9" max="9" width="8.63"/>
    <col customWidth="1" min="10" max="10" width="8.38"/>
    <col customWidth="1" min="11" max="11" width="6.38"/>
    <col customWidth="1" min="12" max="12" width="23.75"/>
    <col customWidth="1" min="13" max="13" width="13.0"/>
    <col customWidth="1" min="14" max="14" width="10.5"/>
    <col customWidth="1" min="15" max="15" width="9.0"/>
    <col customWidth="1" min="16" max="16" width="14.38"/>
  </cols>
  <sheetData>
    <row r="1" ht="27.0" customHeight="1">
      <c r="A1" s="59" t="s">
        <v>46</v>
      </c>
      <c r="B1" s="60"/>
      <c r="C1" s="60"/>
      <c r="D1" s="4"/>
      <c r="E1" s="60"/>
      <c r="F1" s="60"/>
      <c r="G1" s="60"/>
      <c r="H1" s="60"/>
      <c r="I1" s="60"/>
      <c r="J1" s="60"/>
      <c r="K1" s="4"/>
      <c r="L1" s="4"/>
      <c r="M1" s="4"/>
      <c r="N1" s="4"/>
      <c r="O1" s="4"/>
      <c r="P1" s="4"/>
    </row>
    <row r="2" ht="15.0" customHeight="1">
      <c r="A2" s="4"/>
      <c r="B2" s="4"/>
      <c r="C2" s="4"/>
      <c r="D2" s="61"/>
      <c r="E2" s="4"/>
      <c r="F2" s="4"/>
      <c r="G2" s="4"/>
      <c r="H2" s="4"/>
      <c r="I2" s="4"/>
      <c r="J2" s="4"/>
      <c r="K2" s="4"/>
      <c r="L2" s="4" t="s">
        <v>47</v>
      </c>
      <c r="M2" s="4"/>
      <c r="N2" s="4"/>
      <c r="O2" s="4"/>
      <c r="P2" s="4"/>
    </row>
    <row r="3" ht="16.5" customHeight="1">
      <c r="A3" s="4"/>
      <c r="B3" s="4"/>
      <c r="C3" s="4"/>
      <c r="D3" s="2" t="s">
        <v>0</v>
      </c>
      <c r="E3" s="62" t="s">
        <v>48</v>
      </c>
      <c r="F3" s="4"/>
      <c r="G3" s="4"/>
      <c r="H3" s="5" t="s">
        <v>2</v>
      </c>
      <c r="I3" s="4"/>
      <c r="J3" s="4"/>
      <c r="K3" s="4"/>
      <c r="L3" s="6" t="s">
        <v>49</v>
      </c>
      <c r="M3" s="4"/>
      <c r="N3" s="4"/>
      <c r="O3" s="4"/>
      <c r="P3" s="4"/>
    </row>
    <row r="4" ht="18.0" customHeight="1">
      <c r="A4" s="63"/>
      <c r="B4" s="4"/>
      <c r="C4" s="4"/>
      <c r="D4" s="64" t="s">
        <v>42</v>
      </c>
      <c r="E4" s="65" t="s">
        <v>50</v>
      </c>
      <c r="F4" s="9"/>
      <c r="G4" s="4"/>
      <c r="H4" s="4"/>
      <c r="I4" s="4"/>
      <c r="J4" s="4"/>
      <c r="K4" s="4"/>
      <c r="L4" s="4"/>
      <c r="M4" s="4"/>
      <c r="N4" s="4"/>
      <c r="O4" s="4"/>
      <c r="P4" s="4"/>
    </row>
    <row r="5" ht="18.0" customHeight="1">
      <c r="A5" s="63"/>
      <c r="B5" s="4"/>
      <c r="C5" s="4"/>
      <c r="D5" s="64" t="s">
        <v>51</v>
      </c>
      <c r="E5" s="65"/>
      <c r="F5" s="9"/>
      <c r="G5" s="4"/>
      <c r="H5" s="4"/>
      <c r="I5" s="4"/>
      <c r="J5" s="4"/>
      <c r="K5" s="4"/>
      <c r="L5" s="4"/>
      <c r="M5" s="4"/>
      <c r="N5" s="4"/>
      <c r="O5" s="4"/>
      <c r="P5" s="4"/>
    </row>
    <row r="6" ht="16.5" customHeight="1">
      <c r="A6" s="4"/>
      <c r="B6" s="4"/>
      <c r="C6" s="4"/>
      <c r="D6" s="64" t="s">
        <v>52</v>
      </c>
      <c r="E6" s="66"/>
      <c r="F6" s="13"/>
      <c r="G6" s="13"/>
      <c r="H6" s="4"/>
      <c r="I6" s="13"/>
      <c r="J6" s="13"/>
      <c r="K6" s="4"/>
      <c r="L6" s="4"/>
      <c r="M6" s="4"/>
      <c r="N6" s="4"/>
      <c r="O6" s="4"/>
      <c r="P6" s="4"/>
    </row>
    <row r="7" ht="16.5" customHeight="1">
      <c r="A7" s="4"/>
      <c r="B7" s="4"/>
      <c r="C7" s="4"/>
      <c r="D7" s="64" t="s">
        <v>53</v>
      </c>
      <c r="E7" s="67">
        <f>Example!$F$31</f>
        <v>46</v>
      </c>
      <c r="F7" s="13"/>
      <c r="G7" s="13"/>
      <c r="H7" s="4"/>
      <c r="I7" s="13"/>
      <c r="J7" s="13"/>
      <c r="K7" s="4"/>
      <c r="L7" s="4"/>
      <c r="M7" s="4"/>
      <c r="N7" s="4"/>
      <c r="O7" s="4"/>
      <c r="P7" s="4"/>
    </row>
    <row r="8" ht="16.5" customHeight="1">
      <c r="A8" s="4"/>
      <c r="B8" s="4"/>
      <c r="C8" s="4"/>
      <c r="D8" s="68" t="s">
        <v>54</v>
      </c>
      <c r="E8" s="69">
        <f>Example!$J$31</f>
        <v>5.85</v>
      </c>
      <c r="F8" s="13"/>
      <c r="G8" s="13"/>
      <c r="H8" s="4"/>
      <c r="I8" s="13"/>
      <c r="J8" s="13"/>
      <c r="K8" s="4"/>
      <c r="L8" s="4"/>
      <c r="M8" s="4"/>
      <c r="N8" s="4"/>
      <c r="O8" s="4"/>
      <c r="P8" s="4"/>
    </row>
    <row r="9" ht="15.0" customHeight="1">
      <c r="A9" s="4"/>
      <c r="B9" s="4"/>
      <c r="C9" s="4"/>
      <c r="D9" s="4"/>
      <c r="E9" s="4"/>
      <c r="F9" s="13"/>
      <c r="G9" s="13"/>
      <c r="H9" s="4"/>
      <c r="I9" s="13"/>
      <c r="J9" s="13"/>
      <c r="K9" s="4"/>
      <c r="L9" s="4"/>
      <c r="M9" s="4"/>
      <c r="N9" s="4"/>
      <c r="O9" s="4"/>
      <c r="P9" s="4"/>
    </row>
    <row r="10" ht="19.5" customHeight="1">
      <c r="A10" s="70" t="s">
        <v>55</v>
      </c>
      <c r="B10" s="16" t="s">
        <v>7</v>
      </c>
      <c r="C10" s="16" t="s">
        <v>56</v>
      </c>
      <c r="D10" s="16" t="s">
        <v>8</v>
      </c>
      <c r="E10" s="16" t="s">
        <v>57</v>
      </c>
      <c r="F10" s="18" t="s">
        <v>10</v>
      </c>
      <c r="G10" s="18" t="s">
        <v>11</v>
      </c>
      <c r="H10" s="18" t="s">
        <v>12</v>
      </c>
      <c r="I10" s="18" t="s">
        <v>58</v>
      </c>
      <c r="J10" s="18" t="s">
        <v>59</v>
      </c>
      <c r="K10" s="4"/>
      <c r="L10" s="4"/>
      <c r="M10" s="4"/>
      <c r="N10" s="4"/>
      <c r="O10" s="4"/>
      <c r="P10" s="4"/>
    </row>
    <row r="11" ht="49.5" customHeight="1">
      <c r="A11" s="71" t="s">
        <v>60</v>
      </c>
      <c r="B11" s="72">
        <v>50746.0</v>
      </c>
      <c r="C11" s="72">
        <v>4504369.0</v>
      </c>
      <c r="D11" s="71" t="s">
        <v>61</v>
      </c>
      <c r="E11" s="71" t="s">
        <v>62</v>
      </c>
      <c r="F11" s="73">
        <v>1.0</v>
      </c>
      <c r="G11" s="73" t="s">
        <v>63</v>
      </c>
      <c r="H11" s="74"/>
      <c r="I11" s="75">
        <v>0.1</v>
      </c>
      <c r="J11" s="76">
        <f>Example!$F11*Example!$I11</f>
        <v>0.1</v>
      </c>
      <c r="K11" s="4"/>
      <c r="L11" s="4"/>
      <c r="M11" s="4"/>
      <c r="N11" s="4"/>
      <c r="O11" s="4"/>
      <c r="P11" s="4"/>
    </row>
    <row r="12" ht="49.5" customHeight="1">
      <c r="A12" s="77" t="s">
        <v>64</v>
      </c>
      <c r="B12" s="78">
        <v>3024.0</v>
      </c>
      <c r="C12" s="78">
        <v>302401.0</v>
      </c>
      <c r="D12" s="77" t="s">
        <v>65</v>
      </c>
      <c r="E12" s="77" t="s">
        <v>62</v>
      </c>
      <c r="F12" s="79">
        <v>1.0</v>
      </c>
      <c r="G12" s="79" t="s">
        <v>63</v>
      </c>
      <c r="H12" s="80"/>
      <c r="I12" s="81">
        <v>0.1</v>
      </c>
      <c r="J12" s="82">
        <f>Example!$F12*Example!$I12</f>
        <v>0.1</v>
      </c>
      <c r="K12" s="4"/>
      <c r="L12" s="4"/>
      <c r="M12" s="4"/>
      <c r="N12" s="4"/>
      <c r="O12" s="4"/>
      <c r="P12" s="4"/>
    </row>
    <row r="13" ht="49.5" customHeight="1">
      <c r="A13" s="71" t="s">
        <v>64</v>
      </c>
      <c r="B13" s="72">
        <v>3023.0</v>
      </c>
      <c r="C13" s="72">
        <v>302301.0</v>
      </c>
      <c r="D13" s="71" t="s">
        <v>66</v>
      </c>
      <c r="E13" s="71" t="s">
        <v>62</v>
      </c>
      <c r="F13" s="73">
        <v>2.0</v>
      </c>
      <c r="G13" s="73" t="s">
        <v>63</v>
      </c>
      <c r="H13" s="74"/>
      <c r="I13" s="75">
        <v>0.1</v>
      </c>
      <c r="J13" s="76">
        <f>Example!$F13*Example!$I13</f>
        <v>0.2</v>
      </c>
      <c r="K13" s="4"/>
      <c r="L13" s="4"/>
      <c r="M13" s="4"/>
      <c r="N13" s="4"/>
      <c r="O13" s="4"/>
      <c r="P13" s="4"/>
    </row>
    <row r="14" ht="49.5" customHeight="1">
      <c r="A14" s="77" t="s">
        <v>64</v>
      </c>
      <c r="B14" s="78">
        <v>3023.0</v>
      </c>
      <c r="C14" s="78">
        <v>4211398.0</v>
      </c>
      <c r="D14" s="77" t="s">
        <v>66</v>
      </c>
      <c r="E14" s="77" t="s">
        <v>67</v>
      </c>
      <c r="F14" s="79">
        <v>1.0</v>
      </c>
      <c r="G14" s="79" t="s">
        <v>63</v>
      </c>
      <c r="H14" s="80"/>
      <c r="I14" s="81">
        <v>0.1</v>
      </c>
      <c r="J14" s="82">
        <f>Example!$F14*Example!$I14</f>
        <v>0.1</v>
      </c>
      <c r="K14" s="4"/>
      <c r="L14" s="4"/>
      <c r="M14" s="4"/>
      <c r="N14" s="4"/>
      <c r="O14" s="4"/>
      <c r="P14" s="4"/>
    </row>
    <row r="15" ht="49.5" customHeight="1">
      <c r="A15" s="71" t="s">
        <v>64</v>
      </c>
      <c r="B15" s="72">
        <v>3794.0</v>
      </c>
      <c r="C15" s="72">
        <v>379401.0</v>
      </c>
      <c r="D15" s="71" t="s">
        <v>68</v>
      </c>
      <c r="E15" s="71" t="s">
        <v>62</v>
      </c>
      <c r="F15" s="73">
        <v>1.0</v>
      </c>
      <c r="G15" s="73" t="s">
        <v>63</v>
      </c>
      <c r="H15" s="74"/>
      <c r="I15" s="75">
        <v>0.1</v>
      </c>
      <c r="J15" s="76">
        <f>Example!$F15*Example!$I15</f>
        <v>0.1</v>
      </c>
      <c r="K15" s="4"/>
      <c r="L15" s="4"/>
      <c r="M15" s="4"/>
      <c r="N15" s="4"/>
      <c r="O15" s="4"/>
      <c r="P15" s="4"/>
    </row>
    <row r="16" ht="49.5" customHeight="1">
      <c r="A16" s="77" t="s">
        <v>64</v>
      </c>
      <c r="B16" s="78">
        <v>3623.0</v>
      </c>
      <c r="C16" s="78">
        <v>362301.0</v>
      </c>
      <c r="D16" s="77" t="s">
        <v>69</v>
      </c>
      <c r="E16" s="77" t="s">
        <v>62</v>
      </c>
      <c r="F16" s="79">
        <v>1.0</v>
      </c>
      <c r="G16" s="79" t="s">
        <v>63</v>
      </c>
      <c r="H16" s="80"/>
      <c r="I16" s="81">
        <v>0.1</v>
      </c>
      <c r="J16" s="82">
        <f>Example!$F16*Example!$I16</f>
        <v>0.1</v>
      </c>
      <c r="K16" s="4"/>
      <c r="L16" s="4"/>
      <c r="M16" s="4"/>
      <c r="N16" s="4"/>
      <c r="O16" s="4"/>
      <c r="P16" s="4"/>
    </row>
    <row r="17" ht="49.5" customHeight="1">
      <c r="A17" s="71" t="s">
        <v>64</v>
      </c>
      <c r="B17" s="72">
        <v>3623.0</v>
      </c>
      <c r="C17" s="72">
        <v>362321.0</v>
      </c>
      <c r="D17" s="71" t="s">
        <v>69</v>
      </c>
      <c r="E17" s="71" t="s">
        <v>70</v>
      </c>
      <c r="F17" s="73">
        <v>1.0</v>
      </c>
      <c r="G17" s="73" t="s">
        <v>63</v>
      </c>
      <c r="H17" s="74"/>
      <c r="I17" s="75">
        <v>0.1</v>
      </c>
      <c r="J17" s="76">
        <f>Example!$F17*Example!$I17</f>
        <v>0.1</v>
      </c>
      <c r="K17" s="4"/>
      <c r="L17" s="4"/>
      <c r="M17" s="4"/>
      <c r="N17" s="4"/>
      <c r="O17" s="4"/>
      <c r="P17" s="4"/>
    </row>
    <row r="18" ht="49.5" customHeight="1">
      <c r="A18" s="77" t="s">
        <v>64</v>
      </c>
      <c r="B18" s="78">
        <v>94148.0</v>
      </c>
      <c r="C18" s="78">
        <v>302201.0</v>
      </c>
      <c r="D18" s="77" t="s">
        <v>71</v>
      </c>
      <c r="E18" s="77" t="s">
        <v>62</v>
      </c>
      <c r="F18" s="79">
        <v>1.0</v>
      </c>
      <c r="G18" s="79" t="s">
        <v>63</v>
      </c>
      <c r="H18" s="80"/>
      <c r="I18" s="81">
        <v>0.15</v>
      </c>
      <c r="J18" s="82">
        <f>Example!$F18*Example!$I18</f>
        <v>0.15</v>
      </c>
      <c r="K18" s="4"/>
      <c r="L18" s="4"/>
      <c r="M18" s="4"/>
      <c r="N18" s="4"/>
      <c r="O18" s="4"/>
      <c r="P18" s="4"/>
    </row>
    <row r="19" ht="49.5" customHeight="1">
      <c r="A19" s="71" t="s">
        <v>72</v>
      </c>
      <c r="B19" s="72">
        <v>6141.0</v>
      </c>
      <c r="C19" s="72">
        <v>4210633.0</v>
      </c>
      <c r="D19" s="71" t="s">
        <v>73</v>
      </c>
      <c r="E19" s="71" t="s">
        <v>74</v>
      </c>
      <c r="F19" s="73">
        <v>1.0</v>
      </c>
      <c r="G19" s="73" t="s">
        <v>63</v>
      </c>
      <c r="H19" s="74"/>
      <c r="I19" s="75">
        <v>0.1</v>
      </c>
      <c r="J19" s="76">
        <f>Example!$F19*Example!$I19</f>
        <v>0.1</v>
      </c>
      <c r="K19" s="4"/>
      <c r="L19" s="4"/>
      <c r="M19" s="4"/>
      <c r="N19" s="4"/>
      <c r="O19" s="4"/>
      <c r="P19" s="4"/>
    </row>
    <row r="20" ht="49.5" customHeight="1">
      <c r="A20" s="77" t="s">
        <v>72</v>
      </c>
      <c r="B20" s="78">
        <v>3070.0</v>
      </c>
      <c r="C20" s="78">
        <v>307021.0</v>
      </c>
      <c r="D20" s="77" t="s">
        <v>75</v>
      </c>
      <c r="E20" s="77" t="s">
        <v>70</v>
      </c>
      <c r="F20" s="79">
        <v>4.0</v>
      </c>
      <c r="G20" s="79" t="s">
        <v>63</v>
      </c>
      <c r="H20" s="80"/>
      <c r="I20" s="81">
        <v>0.1</v>
      </c>
      <c r="J20" s="82">
        <f>Example!$F20*Example!$I20</f>
        <v>0.4</v>
      </c>
      <c r="K20" s="4"/>
      <c r="L20" s="4"/>
      <c r="M20" s="4"/>
      <c r="N20" s="4"/>
      <c r="O20" s="4"/>
      <c r="P20" s="4"/>
    </row>
    <row r="21" ht="49.5" customHeight="1">
      <c r="A21" s="71" t="s">
        <v>72</v>
      </c>
      <c r="B21" s="72">
        <v>2412.0</v>
      </c>
      <c r="C21" s="72">
        <v>241201.0</v>
      </c>
      <c r="D21" s="71" t="s">
        <v>76</v>
      </c>
      <c r="E21" s="71" t="s">
        <v>62</v>
      </c>
      <c r="F21" s="73">
        <v>1.0</v>
      </c>
      <c r="G21" s="73" t="s">
        <v>63</v>
      </c>
      <c r="H21" s="74"/>
      <c r="I21" s="75">
        <v>0.1</v>
      </c>
      <c r="J21" s="76">
        <f>Example!$F21*Example!$I21</f>
        <v>0.1</v>
      </c>
      <c r="K21" s="4"/>
      <c r="L21" s="4"/>
      <c r="M21" s="4"/>
      <c r="N21" s="4"/>
      <c r="O21" s="4"/>
      <c r="P21" s="4"/>
    </row>
    <row r="22" ht="49.5" customHeight="1">
      <c r="A22" s="77" t="s">
        <v>72</v>
      </c>
      <c r="B22" s="78">
        <v>6019.0</v>
      </c>
      <c r="C22" s="78">
        <v>4538353.0</v>
      </c>
      <c r="D22" s="77" t="s">
        <v>77</v>
      </c>
      <c r="E22" s="77" t="s">
        <v>62</v>
      </c>
      <c r="F22" s="79">
        <v>4.0</v>
      </c>
      <c r="G22" s="79" t="s">
        <v>63</v>
      </c>
      <c r="H22" s="80"/>
      <c r="I22" s="81">
        <v>0.15</v>
      </c>
      <c r="J22" s="82">
        <f>Example!$F22*Example!$I22</f>
        <v>0.6</v>
      </c>
      <c r="K22" s="4"/>
      <c r="L22" s="4"/>
      <c r="M22" s="4"/>
      <c r="N22" s="4"/>
      <c r="O22" s="4"/>
      <c r="P22" s="4"/>
    </row>
    <row r="23" ht="49.5" customHeight="1">
      <c r="A23" s="71" t="s">
        <v>72</v>
      </c>
      <c r="B23" s="72">
        <v>2431.0</v>
      </c>
      <c r="C23" s="72">
        <v>4558168.0</v>
      </c>
      <c r="D23" s="71" t="s">
        <v>78</v>
      </c>
      <c r="E23" s="71" t="s">
        <v>62</v>
      </c>
      <c r="F23" s="73">
        <v>1.0</v>
      </c>
      <c r="G23" s="73" t="s">
        <v>63</v>
      </c>
      <c r="H23" s="74"/>
      <c r="I23" s="75">
        <v>0.2</v>
      </c>
      <c r="J23" s="76">
        <f>Example!$F23*Example!$I23</f>
        <v>0.2</v>
      </c>
      <c r="K23" s="4"/>
      <c r="L23" s="4"/>
      <c r="M23" s="4"/>
      <c r="N23" s="4"/>
      <c r="O23" s="4"/>
      <c r="P23" s="4"/>
    </row>
    <row r="24" ht="49.5" customHeight="1">
      <c r="A24" s="77" t="s">
        <v>72</v>
      </c>
      <c r="B24" s="78">
        <v>63868.0</v>
      </c>
      <c r="C24" s="78">
        <v>4535737.0</v>
      </c>
      <c r="D24" s="77" t="s">
        <v>79</v>
      </c>
      <c r="E24" s="77" t="s">
        <v>62</v>
      </c>
      <c r="F24" s="79">
        <v>4.0</v>
      </c>
      <c r="G24" s="79" t="s">
        <v>63</v>
      </c>
      <c r="H24" s="80"/>
      <c r="I24" s="81">
        <v>0.15</v>
      </c>
      <c r="J24" s="82">
        <f>Example!$F24*Example!$I24</f>
        <v>0.6</v>
      </c>
      <c r="K24" s="4"/>
      <c r="L24" s="4"/>
      <c r="M24" s="4"/>
      <c r="N24" s="4"/>
      <c r="O24" s="4"/>
      <c r="P24" s="4"/>
    </row>
    <row r="25" ht="49.5" customHeight="1">
      <c r="A25" s="71" t="s">
        <v>72</v>
      </c>
      <c r="B25" s="72">
        <v>2540.0</v>
      </c>
      <c r="C25" s="72">
        <v>4211632.0</v>
      </c>
      <c r="D25" s="71" t="s">
        <v>80</v>
      </c>
      <c r="E25" s="71" t="s">
        <v>67</v>
      </c>
      <c r="F25" s="73">
        <v>4.0</v>
      </c>
      <c r="G25" s="73" t="s">
        <v>63</v>
      </c>
      <c r="H25" s="74"/>
      <c r="I25" s="75">
        <v>0.15</v>
      </c>
      <c r="J25" s="76">
        <f>Example!$F25*Example!$I25</f>
        <v>0.6</v>
      </c>
      <c r="K25" s="4"/>
      <c r="L25" s="4"/>
      <c r="M25" s="4"/>
      <c r="N25" s="4"/>
      <c r="O25" s="4"/>
      <c r="P25" s="4"/>
    </row>
    <row r="26" ht="49.5" customHeight="1">
      <c r="A26" s="77" t="s">
        <v>72</v>
      </c>
      <c r="B26" s="78">
        <v>3176.0</v>
      </c>
      <c r="C26" s="78">
        <v>4225733.0</v>
      </c>
      <c r="D26" s="77" t="s">
        <v>81</v>
      </c>
      <c r="E26" s="77" t="s">
        <v>74</v>
      </c>
      <c r="F26" s="79">
        <v>1.0</v>
      </c>
      <c r="G26" s="79" t="s">
        <v>63</v>
      </c>
      <c r="H26" s="80"/>
      <c r="I26" s="81">
        <v>0.2</v>
      </c>
      <c r="J26" s="82">
        <f>Example!$F26*Example!$I26</f>
        <v>0.2</v>
      </c>
      <c r="K26" s="4"/>
      <c r="L26" s="4"/>
      <c r="M26" s="4"/>
      <c r="N26" s="4"/>
      <c r="O26" s="4"/>
      <c r="P26" s="4"/>
    </row>
    <row r="27" ht="49.5" customHeight="1">
      <c r="A27" s="71" t="s">
        <v>82</v>
      </c>
      <c r="B27" s="72">
        <v>49668.0</v>
      </c>
      <c r="C27" s="72">
        <v>4224793.0</v>
      </c>
      <c r="D27" s="71" t="s">
        <v>83</v>
      </c>
      <c r="E27" s="71" t="s">
        <v>84</v>
      </c>
      <c r="F27" s="73">
        <v>1.0</v>
      </c>
      <c r="G27" s="73" t="s">
        <v>63</v>
      </c>
      <c r="H27" s="74"/>
      <c r="I27" s="75">
        <v>0.1</v>
      </c>
      <c r="J27" s="76">
        <f>Example!$F27*Example!$I27</f>
        <v>0.1</v>
      </c>
      <c r="K27" s="4"/>
      <c r="L27" s="4"/>
      <c r="M27" s="4"/>
      <c r="N27" s="4"/>
      <c r="O27" s="4"/>
      <c r="P27" s="4"/>
    </row>
    <row r="28" ht="49.5" customHeight="1">
      <c r="A28" s="77" t="s">
        <v>85</v>
      </c>
      <c r="B28" s="78">
        <v>32123.0</v>
      </c>
      <c r="C28" s="78">
        <v>4211573.0</v>
      </c>
      <c r="D28" s="77" t="s">
        <v>86</v>
      </c>
      <c r="E28" s="77" t="s">
        <v>67</v>
      </c>
      <c r="F28" s="79">
        <v>4.0</v>
      </c>
      <c r="G28" s="79" t="s">
        <v>63</v>
      </c>
      <c r="H28" s="80"/>
      <c r="I28" s="81">
        <v>0.1</v>
      </c>
      <c r="J28" s="82">
        <f>Example!$F28*Example!$I28</f>
        <v>0.4</v>
      </c>
      <c r="K28" s="4"/>
      <c r="L28" s="4"/>
      <c r="M28" s="4"/>
      <c r="N28" s="4"/>
      <c r="O28" s="4"/>
      <c r="P28" s="4"/>
    </row>
    <row r="29" ht="49.5" customHeight="1">
      <c r="A29" s="71" t="s">
        <v>85</v>
      </c>
      <c r="B29" s="72">
        <v>6590.0</v>
      </c>
      <c r="C29" s="72">
        <v>4211622.0</v>
      </c>
      <c r="D29" s="71" t="s">
        <v>87</v>
      </c>
      <c r="E29" s="71" t="s">
        <v>67</v>
      </c>
      <c r="F29" s="73">
        <v>8.0</v>
      </c>
      <c r="G29" s="73" t="s">
        <v>63</v>
      </c>
      <c r="H29" s="74"/>
      <c r="I29" s="75">
        <v>0.15</v>
      </c>
      <c r="J29" s="76">
        <f>Example!$F29*Example!$I29</f>
        <v>1.2</v>
      </c>
      <c r="K29" s="4"/>
      <c r="L29" s="4"/>
      <c r="M29" s="4"/>
      <c r="N29" s="4"/>
      <c r="O29" s="4"/>
      <c r="P29" s="4"/>
    </row>
    <row r="30" ht="49.5" customHeight="1">
      <c r="A30" s="77" t="s">
        <v>88</v>
      </c>
      <c r="B30" s="78">
        <v>3957.0</v>
      </c>
      <c r="C30" s="78">
        <v>4211473.0</v>
      </c>
      <c r="D30" s="77" t="s">
        <v>89</v>
      </c>
      <c r="E30" s="77" t="s">
        <v>67</v>
      </c>
      <c r="F30" s="79">
        <v>4.0</v>
      </c>
      <c r="G30" s="79" t="s">
        <v>63</v>
      </c>
      <c r="H30" s="80"/>
      <c r="I30" s="81">
        <v>0.1</v>
      </c>
      <c r="J30" s="82">
        <f>Example!$F30*Example!$I30</f>
        <v>0.4</v>
      </c>
      <c r="K30" s="4"/>
      <c r="L30" s="4"/>
      <c r="M30" s="4"/>
      <c r="N30" s="4"/>
      <c r="O30" s="4"/>
      <c r="P30" s="4"/>
    </row>
    <row r="31" ht="15.0" customHeight="1">
      <c r="A31" s="35"/>
      <c r="B31" s="35"/>
      <c r="C31" s="35"/>
      <c r="D31" s="35" t="s">
        <v>15</v>
      </c>
      <c r="E31" s="35"/>
      <c r="F31" s="37">
        <f>SUBTOTAL(109,Example!$F$11:$F$30)</f>
        <v>46</v>
      </c>
      <c r="G31" s="37"/>
      <c r="H31" s="35"/>
      <c r="I31" s="83"/>
      <c r="J31" s="38">
        <f>SUBTOTAL(109,Example!$J$11:$J$30)</f>
        <v>5.85</v>
      </c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9"/>
      <c r="G32" s="9"/>
      <c r="H32" s="9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9"/>
      <c r="G33" s="9"/>
      <c r="H33" s="9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9"/>
      <c r="G34" s="9"/>
      <c r="H34" s="9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9"/>
      <c r="G35" s="9"/>
      <c r="H35" s="9"/>
      <c r="I35" s="4"/>
      <c r="J35" s="4"/>
      <c r="K35" s="4"/>
      <c r="L35" s="4"/>
      <c r="M35" s="4"/>
      <c r="N35" s="4"/>
      <c r="O35" s="4"/>
      <c r="P35" s="4"/>
    </row>
  </sheetData>
  <hyperlinks>
    <hyperlink r:id="rId1" ref="D2"/>
    <hyperlink r:id="rId2" ref="L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75"/>
  <cols>
    <col customWidth="1" min="1" max="1" width="2.63"/>
    <col customWidth="1" min="2" max="2" width="66.5"/>
    <col customWidth="1" min="3" max="6" width="8.63"/>
  </cols>
  <sheetData>
    <row r="1" ht="42.0" customHeight="1">
      <c r="A1" s="84"/>
      <c r="B1" s="85" t="s">
        <v>49</v>
      </c>
      <c r="C1" s="86"/>
    </row>
    <row r="2" ht="15.0" customHeight="1">
      <c r="A2" s="84"/>
      <c r="B2" s="87"/>
      <c r="C2" s="86"/>
    </row>
    <row r="3" ht="14.25" customHeight="1">
      <c r="A3" s="84"/>
      <c r="B3" s="86" t="s">
        <v>90</v>
      </c>
      <c r="C3" s="86"/>
    </row>
    <row r="4" ht="14.25" customHeight="1">
      <c r="A4" s="84"/>
      <c r="B4" s="88" t="s">
        <v>91</v>
      </c>
      <c r="C4" s="86"/>
    </row>
    <row r="5" ht="15.0" customHeight="1">
      <c r="A5" s="84"/>
      <c r="B5" s="89"/>
      <c r="C5" s="86"/>
    </row>
    <row r="6">
      <c r="A6" s="84"/>
      <c r="B6" s="90" t="s">
        <v>47</v>
      </c>
      <c r="C6" s="86"/>
    </row>
    <row r="7" ht="15.0" customHeight="1">
      <c r="A7" s="84"/>
      <c r="B7" s="89"/>
      <c r="C7" s="86"/>
    </row>
    <row r="8" ht="45.0" customHeight="1">
      <c r="A8" s="84"/>
      <c r="B8" s="89" t="s">
        <v>92</v>
      </c>
      <c r="C8" s="86"/>
    </row>
    <row r="9" ht="15.0" customHeight="1">
      <c r="A9" s="84"/>
      <c r="B9" s="89"/>
      <c r="C9" s="86"/>
    </row>
    <row r="10" ht="30.0" customHeight="1">
      <c r="A10" s="84"/>
      <c r="B10" s="89" t="s">
        <v>93</v>
      </c>
      <c r="C10" s="86"/>
    </row>
    <row r="11" ht="15.0" customHeight="1">
      <c r="A11" s="84"/>
      <c r="B11" s="89"/>
      <c r="C11" s="86"/>
    </row>
    <row r="12" ht="30.0" customHeight="1">
      <c r="A12" s="84"/>
      <c r="B12" s="89" t="s">
        <v>94</v>
      </c>
      <c r="C12" s="86"/>
    </row>
    <row r="13" ht="15.0" customHeight="1">
      <c r="A13" s="84"/>
      <c r="B13" s="89"/>
      <c r="C13" s="86"/>
    </row>
    <row r="14" ht="15.0" customHeight="1">
      <c r="A14" s="84"/>
      <c r="B14" s="91" t="s">
        <v>95</v>
      </c>
      <c r="C14" s="86"/>
    </row>
    <row r="15" ht="15.0" customHeight="1">
      <c r="A15" s="84"/>
      <c r="B15" s="89" t="s">
        <v>96</v>
      </c>
      <c r="C15" s="86"/>
    </row>
    <row r="16" ht="15.0" customHeight="1">
      <c r="A16" s="84"/>
      <c r="B16" s="92"/>
      <c r="C16" s="86"/>
    </row>
    <row r="17" ht="29.25" customHeight="1">
      <c r="A17" s="84"/>
      <c r="B17" s="93" t="s">
        <v>97</v>
      </c>
      <c r="C17" s="86"/>
    </row>
    <row r="18" ht="14.25" customHeight="1">
      <c r="A18" s="84"/>
      <c r="B18" s="84"/>
      <c r="C18" s="86"/>
    </row>
    <row r="19" ht="14.25" customHeight="1">
      <c r="A19" s="84"/>
      <c r="B19" s="84"/>
      <c r="C19" s="86"/>
    </row>
    <row r="20" ht="14.25" customHeight="1">
      <c r="A20" s="84"/>
      <c r="B20" s="84"/>
      <c r="C20" s="86"/>
    </row>
    <row r="21" ht="14.25" customHeight="1">
      <c r="A21" s="84"/>
      <c r="B21" s="84"/>
      <c r="C21" s="86"/>
    </row>
    <row r="22" ht="14.25" customHeight="1">
      <c r="A22" s="84"/>
      <c r="B22" s="84"/>
      <c r="C22" s="86"/>
    </row>
    <row r="23" ht="14.25" customHeight="1">
      <c r="A23" s="84"/>
      <c r="B23" s="84"/>
      <c r="C23" s="86"/>
    </row>
    <row r="24" ht="14.25" customHeight="1">
      <c r="A24" s="84"/>
      <c r="B24" s="84"/>
      <c r="C24" s="86"/>
    </row>
    <row r="25" ht="14.25" customHeight="1">
      <c r="A25" s="84"/>
      <c r="B25" s="84"/>
      <c r="C25" s="86"/>
    </row>
    <row r="26" ht="14.25" customHeight="1">
      <c r="A26" s="84"/>
      <c r="B26" s="84"/>
      <c r="C26" s="86"/>
    </row>
    <row r="27" ht="14.25" customHeight="1">
      <c r="A27" s="84"/>
      <c r="B27" s="84"/>
      <c r="C27" s="86"/>
    </row>
    <row r="28" ht="14.25" customHeight="1">
      <c r="A28" s="84"/>
      <c r="B28" s="84"/>
      <c r="C28" s="86"/>
    </row>
    <row r="29" ht="14.25" customHeight="1">
      <c r="A29" s="84"/>
      <c r="B29" s="84"/>
      <c r="C29" s="86"/>
    </row>
  </sheetData>
  <hyperlinks>
    <hyperlink r:id="rId1" ref="B4"/>
    <hyperlink r:id="rId2" ref="B14"/>
  </hyperlinks>
  <drawing r:id="rId3"/>
</worksheet>
</file>